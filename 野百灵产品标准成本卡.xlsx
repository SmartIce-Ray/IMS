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9400" windowHeight="12880" tabRatio="600" firstSheet="0" activeTab="2" autoFilterDateGrouping="1"/>
  </bookViews>
  <sheets>
    <sheet name="肉类、海鲜（涮菜）" sheetId="1" state="visible" r:id="rId1"/>
    <sheet name="糖水铺" sheetId="2" state="visible" r:id="rId2"/>
    <sheet name="原材料价格表" sheetId="3" state="visible" r:id="rId3"/>
  </sheets>
  <definedNames>
    <definedName name="_xlnm._FilterDatabase" localSheetId="0" hidden="1">'肉类、海鲜（涮菜）'!$A$1:$L$455</definedName>
    <definedName name="_xlnm._FilterDatabase" localSheetId="2" hidden="1">'原材料价格表'!$A$1:$L$242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0_);[Red]\(0.00\)"/>
    <numFmt numFmtId="165" formatCode="0_);[Red]\(0\)"/>
  </numFmts>
  <fonts count="43">
    <font>
      <name val="等线"/>
      <charset val="134"/>
      <color theme="1"/>
      <sz val="10"/>
      <scheme val="minor"/>
    </font>
    <font>
      <name val="等线"/>
      <charset val="134"/>
      <b val="1"/>
      <color rgb="FF000000"/>
      <sz val="13.5"/>
      <scheme val="minor"/>
    </font>
    <font>
      <name val="等线"/>
      <charset val="134"/>
      <b val="1"/>
      <color rgb="FF000000"/>
      <sz val="10.5"/>
      <scheme val="minor"/>
    </font>
    <font>
      <name val="等线"/>
      <charset val="134"/>
      <b val="1"/>
      <color rgb="FFFF0000"/>
      <sz val="9.800000000000001"/>
    </font>
    <font>
      <name val="等线"/>
      <charset val="134"/>
      <b val="1"/>
      <color rgb="FF000000"/>
      <sz val="9.800000000000001"/>
      <scheme val="minor"/>
    </font>
    <font>
      <name val="等线"/>
      <charset val="134"/>
      <b val="1"/>
      <color rgb="FFFF0000"/>
      <sz val="10"/>
    </font>
    <font>
      <name val="等线"/>
      <charset val="134"/>
      <b val="1"/>
      <color rgb="FF000000"/>
      <sz val="12"/>
      <scheme val="minor"/>
    </font>
    <font>
      <name val="等线"/>
      <charset val="134"/>
      <b val="1"/>
      <color rgb="FF000000"/>
      <sz val="9.75"/>
      <scheme val="minor"/>
    </font>
    <font>
      <name val="等线"/>
      <charset val="134"/>
      <b val="1"/>
      <color rgb="FF000000"/>
      <sz val="12"/>
    </font>
    <font>
      <name val="等线"/>
      <charset val="134"/>
      <b val="1"/>
      <color rgb="FF000000"/>
      <sz val="10"/>
    </font>
    <font>
      <name val="等线"/>
      <charset val="134"/>
      <b val="1"/>
      <color rgb="FF000000"/>
      <sz val="9.800000000000001"/>
    </font>
    <font>
      <name val="等线"/>
      <charset val="134"/>
      <b val="1"/>
      <color rgb="FF000000"/>
      <sz val="13.5"/>
    </font>
    <font>
      <name val="等线"/>
      <charset val="134"/>
      <color rgb="FF000000"/>
      <sz val="12"/>
      <scheme val="minor"/>
    </font>
    <font>
      <name val="等线"/>
      <charset val="134"/>
      <color rgb="FF000000"/>
      <sz val="9.800000000000001"/>
      <scheme val="minor"/>
    </font>
    <font>
      <name val="微软雅黑"/>
      <charset val="134"/>
      <b val="1"/>
      <color rgb="FF000000"/>
      <sz val="10"/>
    </font>
    <font>
      <name val="等线"/>
      <charset val="134"/>
      <color rgb="FFC00000"/>
      <sz val="9.75"/>
      <scheme val="minor"/>
    </font>
    <font>
      <name val="等线"/>
      <charset val="134"/>
      <b val="1"/>
      <color rgb="FFFF0000"/>
      <sz val="12"/>
    </font>
    <font>
      <name val="等线"/>
      <charset val="134"/>
      <b val="1"/>
      <color rgb="FF000000"/>
      <sz val="10.5"/>
    </font>
    <font>
      <name val="等线"/>
      <charset val="134"/>
      <b val="1"/>
      <color rgb="FF000000"/>
      <sz val="19.5"/>
      <scheme val="minor"/>
    </font>
    <font>
      <name val="等线"/>
      <charset val="134"/>
      <color rgb="FF000000"/>
      <sz val="10.5"/>
    </font>
    <font>
      <name val="等线"/>
      <charset val="134"/>
      <color rgb="FF000000"/>
      <sz val="10.5"/>
      <scheme val="minor"/>
    </font>
    <font>
      <name val="等线"/>
      <charset val="134"/>
      <b val="1"/>
      <color rgb="FFFF0000"/>
      <sz val="12"/>
      <scheme val="minor"/>
    </font>
    <font>
      <name val="等线"/>
      <charset val="134"/>
      <color rgb="FF000000"/>
      <sz val="10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42">
    <fill>
      <patternFill/>
    </fill>
    <fill>
      <patternFill patternType="gray125"/>
    </fill>
    <fill>
      <patternFill patternType="solid">
        <fgColor rgb="FFFCE4D6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8FAADC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AF1D1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49">
    <xf numFmtId="0" fontId="0" fillId="0" borderId="0"/>
    <xf numFmtId="43" fontId="23" fillId="0" borderId="0" applyAlignment="1">
      <alignment vertical="center"/>
    </xf>
    <xf numFmtId="44" fontId="23" fillId="0" borderId="0" applyAlignment="1">
      <alignment vertical="center"/>
    </xf>
    <xf numFmtId="9" fontId="23" fillId="0" borderId="0" applyAlignment="1">
      <alignment vertical="center"/>
    </xf>
    <xf numFmtId="41" fontId="23" fillId="0" borderId="0" applyAlignment="1">
      <alignment vertical="center"/>
    </xf>
    <xf numFmtId="42" fontId="23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3" fillId="11" borderId="18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19" applyAlignment="1">
      <alignment vertical="center"/>
    </xf>
    <xf numFmtId="0" fontId="30" fillId="0" borderId="19" applyAlignment="1">
      <alignment vertical="center"/>
    </xf>
    <xf numFmtId="0" fontId="31" fillId="0" borderId="20" applyAlignment="1">
      <alignment vertical="center"/>
    </xf>
    <xf numFmtId="0" fontId="31" fillId="0" borderId="0" applyAlignment="1">
      <alignment vertical="center"/>
    </xf>
    <xf numFmtId="0" fontId="32" fillId="12" borderId="21" applyAlignment="1">
      <alignment vertical="center"/>
    </xf>
    <xf numFmtId="0" fontId="33" fillId="13" borderId="22" applyAlignment="1">
      <alignment vertical="center"/>
    </xf>
    <xf numFmtId="0" fontId="34" fillId="13" borderId="21" applyAlignment="1">
      <alignment vertical="center"/>
    </xf>
    <xf numFmtId="0" fontId="35" fillId="14" borderId="23" applyAlignment="1">
      <alignment vertical="center"/>
    </xf>
    <xf numFmtId="0" fontId="36" fillId="0" borderId="24" applyAlignment="1">
      <alignment vertical="center"/>
    </xf>
    <xf numFmtId="0" fontId="37" fillId="0" borderId="25" applyAlignment="1">
      <alignment vertical="center"/>
    </xf>
    <xf numFmtId="0" fontId="38" fillId="15" borderId="0" applyAlignment="1">
      <alignment vertical="center"/>
    </xf>
    <xf numFmtId="0" fontId="39" fillId="16" borderId="0" applyAlignment="1">
      <alignment vertical="center"/>
    </xf>
    <xf numFmtId="0" fontId="40" fillId="17" borderId="0" applyAlignment="1">
      <alignment vertical="center"/>
    </xf>
    <xf numFmtId="0" fontId="41" fillId="18" borderId="0" applyAlignment="1">
      <alignment vertical="center"/>
    </xf>
    <xf numFmtId="0" fontId="42" fillId="19" borderId="0" applyAlignment="1">
      <alignment vertical="center"/>
    </xf>
    <xf numFmtId="0" fontId="42" fillId="20" borderId="0" applyAlignment="1">
      <alignment vertical="center"/>
    </xf>
    <xf numFmtId="0" fontId="41" fillId="21" borderId="0" applyAlignment="1">
      <alignment vertical="center"/>
    </xf>
    <xf numFmtId="0" fontId="41" fillId="22" borderId="0" applyAlignment="1">
      <alignment vertical="center"/>
    </xf>
    <xf numFmtId="0" fontId="42" fillId="23" borderId="0" applyAlignment="1">
      <alignment vertical="center"/>
    </xf>
    <xf numFmtId="0" fontId="42" fillId="24" borderId="0" applyAlignment="1">
      <alignment vertical="center"/>
    </xf>
    <xf numFmtId="0" fontId="41" fillId="25" borderId="0" applyAlignment="1">
      <alignment vertical="center"/>
    </xf>
    <xf numFmtId="0" fontId="41" fillId="26" borderId="0" applyAlignment="1">
      <alignment vertical="center"/>
    </xf>
    <xf numFmtId="0" fontId="42" fillId="27" borderId="0" applyAlignment="1">
      <alignment vertical="center"/>
    </xf>
    <xf numFmtId="0" fontId="42" fillId="28" borderId="0" applyAlignment="1">
      <alignment vertical="center"/>
    </xf>
    <xf numFmtId="0" fontId="41" fillId="29" borderId="0" applyAlignment="1">
      <alignment vertical="center"/>
    </xf>
    <xf numFmtId="0" fontId="41" fillId="30" borderId="0" applyAlignment="1">
      <alignment vertical="center"/>
    </xf>
    <xf numFmtId="0" fontId="42" fillId="31" borderId="0" applyAlignment="1">
      <alignment vertical="center"/>
    </xf>
    <xf numFmtId="0" fontId="42" fillId="32" borderId="0" applyAlignment="1">
      <alignment vertical="center"/>
    </xf>
    <xf numFmtId="0" fontId="41" fillId="33" borderId="0" applyAlignment="1">
      <alignment vertical="center"/>
    </xf>
    <xf numFmtId="0" fontId="41" fillId="34" borderId="0" applyAlignment="1">
      <alignment vertical="center"/>
    </xf>
    <xf numFmtId="0" fontId="42" fillId="35" borderId="0" applyAlignment="1">
      <alignment vertical="center"/>
    </xf>
    <xf numFmtId="0" fontId="42" fillId="36" borderId="0" applyAlignment="1">
      <alignment vertical="center"/>
    </xf>
    <xf numFmtId="0" fontId="41" fillId="37" borderId="0" applyAlignment="1">
      <alignment vertical="center"/>
    </xf>
    <xf numFmtId="0" fontId="41" fillId="38" borderId="0" applyAlignment="1">
      <alignment vertical="center"/>
    </xf>
    <xf numFmtId="0" fontId="42" fillId="39" borderId="0" applyAlignment="1">
      <alignment vertical="center"/>
    </xf>
    <xf numFmtId="0" fontId="42" fillId="40" borderId="0" applyAlignment="1">
      <alignment vertical="center"/>
    </xf>
    <xf numFmtId="0" fontId="41" fillId="41" borderId="0" applyAlignment="1">
      <alignment vertical="center"/>
    </xf>
  </cellStyleXfs>
  <cellXfs count="19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10" fillId="3" borderId="4" applyAlignment="1" pivotButton="0" quotePrefix="0" xfId="0">
      <alignment horizontal="center" vertical="center"/>
    </xf>
    <xf numFmtId="0" fontId="9" fillId="3" borderId="4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4" fontId="1" fillId="2" borderId="3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4" fontId="7" fillId="0" borderId="4" applyAlignment="1" pivotButton="0" quotePrefix="0" xfId="0">
      <alignment horizontal="center" vertical="center"/>
    </xf>
    <xf numFmtId="164" fontId="7" fillId="0" borderId="4" applyAlignment="1" pivotButton="0" quotePrefix="0" xfId="0">
      <alignment horizontal="center" vertical="center"/>
    </xf>
    <xf numFmtId="0" fontId="7" fillId="0" borderId="4" applyAlignment="1" pivotButton="0" quotePrefix="0" xfId="0">
      <alignment vertical="center"/>
    </xf>
    <xf numFmtId="4" fontId="7" fillId="3" borderId="4" applyAlignment="1" pivotButton="0" quotePrefix="0" xfId="0">
      <alignment horizontal="center" vertical="center"/>
    </xf>
    <xf numFmtId="164" fontId="7" fillId="3" borderId="4" applyAlignment="1" pivotButton="0" quotePrefix="0" xfId="0">
      <alignment horizontal="center" vertical="center"/>
    </xf>
    <xf numFmtId="0" fontId="7" fillId="3" borderId="4" applyAlignment="1" pivotButton="0" quotePrefix="0" xfId="0">
      <alignment horizontal="center" vertical="center"/>
    </xf>
    <xf numFmtId="4" fontId="7" fillId="0" borderId="4" applyAlignment="1" pivotButton="0" quotePrefix="0" xfId="0">
      <alignment horizontal="center" vertical="center" wrapText="1"/>
    </xf>
    <xf numFmtId="164" fontId="7" fillId="0" borderId="4" applyAlignment="1" pivotButton="0" quotePrefix="0" xfId="0">
      <alignment horizontal="center" vertical="center" wrapText="1"/>
    </xf>
    <xf numFmtId="0" fontId="11" fillId="2" borderId="2" applyAlignment="1" pivotButton="0" quotePrefix="0" xfId="0">
      <alignment horizontal="center" vertical="center"/>
    </xf>
    <xf numFmtId="0" fontId="9" fillId="0" borderId="4" applyAlignment="1" pivotButton="0" quotePrefix="0" xfId="0">
      <alignment vertical="center"/>
    </xf>
    <xf numFmtId="0" fontId="7" fillId="3" borderId="4" applyAlignment="1" pivotButton="0" quotePrefix="0" xfId="0">
      <alignment vertical="center"/>
    </xf>
    <xf numFmtId="0" fontId="7" fillId="0" borderId="5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2" fillId="0" borderId="9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7" fillId="0" borderId="6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0" fillId="0" borderId="4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14" fillId="0" borderId="4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2" fontId="7" fillId="0" borderId="4" applyAlignment="1" pivotButton="0" quotePrefix="0" xfId="0">
      <alignment horizontal="center" vertical="center"/>
    </xf>
    <xf numFmtId="0" fontId="15" fillId="0" borderId="4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9" fillId="0" borderId="11" applyAlignment="1" pivotButton="0" quotePrefix="0" xfId="0">
      <alignment horizontal="center" vertical="center"/>
    </xf>
    <xf numFmtId="0" fontId="17" fillId="0" borderId="8" applyAlignment="1" pivotButton="0" quotePrefix="0" xfId="0">
      <alignment horizontal="center" vertical="center"/>
    </xf>
    <xf numFmtId="0" fontId="17" fillId="0" borderId="12" applyAlignment="1" pivotButton="0" quotePrefix="0" xfId="0">
      <alignment horizontal="center" vertical="center"/>
    </xf>
    <xf numFmtId="0" fontId="17" fillId="0" borderId="4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7" fillId="0" borderId="4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4" fontId="6" fillId="0" borderId="4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4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4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4" fontId="7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18" fillId="5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center" vertical="center"/>
    </xf>
    <xf numFmtId="0" fontId="19" fillId="6" borderId="4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6" fillId="6" borderId="4" applyAlignment="1" pivotButton="0" quotePrefix="0" xfId="0">
      <alignment horizontal="center" vertical="center"/>
    </xf>
    <xf numFmtId="9" fontId="6" fillId="6" borderId="4" applyAlignment="1" pivotButton="0" quotePrefix="0" xfId="0">
      <alignment horizontal="center" vertical="center" wrapText="1"/>
    </xf>
    <xf numFmtId="165" fontId="6" fillId="6" borderId="4" applyAlignment="1" pivotButton="0" quotePrefix="0" xfId="0">
      <alignment horizontal="center" vertical="center" wrapText="1"/>
    </xf>
    <xf numFmtId="0" fontId="19" fillId="0" borderId="4" applyAlignment="1" pivotButton="0" quotePrefix="0" xfId="0">
      <alignment horizontal="center" vertical="center"/>
    </xf>
    <xf numFmtId="0" fontId="20" fillId="0" borderId="4" applyAlignment="1" pivotButton="0" quotePrefix="0" xfId="0">
      <alignment horizontal="center" vertical="center"/>
    </xf>
    <xf numFmtId="0" fontId="19" fillId="7" borderId="4" applyAlignment="1" pivotButton="0" quotePrefix="0" xfId="0">
      <alignment horizontal="center" vertical="center"/>
    </xf>
    <xf numFmtId="9" fontId="6" fillId="0" borderId="4" applyAlignment="1" pivotButton="0" quotePrefix="0" xfId="0">
      <alignment horizontal="center" vertical="center" wrapText="1"/>
    </xf>
    <xf numFmtId="165" fontId="6" fillId="0" borderId="4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/>
    </xf>
    <xf numFmtId="0" fontId="20" fillId="0" borderId="4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19" fillId="0" borderId="4" applyAlignment="1" pivotButton="0" quotePrefix="0" xfId="0">
      <alignment horizontal="center" vertical="center"/>
    </xf>
    <xf numFmtId="9" fontId="6" fillId="0" borderId="4" applyAlignment="1" pivotButton="0" quotePrefix="0" xfId="0">
      <alignment horizontal="center" vertical="center" wrapText="1"/>
    </xf>
    <xf numFmtId="165" fontId="6" fillId="0" borderId="4" applyAlignment="1" pivotButton="0" quotePrefix="0" xfId="0">
      <alignment horizontal="center" vertical="center" wrapText="1"/>
    </xf>
    <xf numFmtId="0" fontId="19" fillId="8" borderId="4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9" fontId="6" fillId="0" borderId="9" applyAlignment="1" pivotButton="0" quotePrefix="0" xfId="0">
      <alignment horizontal="center" vertical="center" wrapText="1"/>
    </xf>
    <xf numFmtId="165" fontId="6" fillId="0" borderId="9" applyAlignment="1" pivotButton="0" quotePrefix="0" xfId="0">
      <alignment horizontal="center" vertical="center" wrapText="1"/>
    </xf>
    <xf numFmtId="0" fontId="6" fillId="4" borderId="13" applyAlignment="1" pivotButton="0" quotePrefix="0" xfId="0">
      <alignment horizontal="center" vertical="center"/>
    </xf>
    <xf numFmtId="9" fontId="6" fillId="4" borderId="14" applyAlignment="1" pivotButton="0" quotePrefix="0" xfId="0">
      <alignment horizontal="center" vertical="center" wrapText="1"/>
    </xf>
    <xf numFmtId="165" fontId="6" fillId="4" borderId="14" applyAlignment="1" pivotButton="0" quotePrefix="0" xfId="0">
      <alignment horizontal="center" vertical="center" wrapText="1"/>
    </xf>
    <xf numFmtId="0" fontId="6" fillId="4" borderId="15" applyAlignment="1" pivotButton="0" quotePrefix="0" xfId="0">
      <alignment horizontal="center" vertical="center"/>
    </xf>
    <xf numFmtId="9" fontId="6" fillId="4" borderId="16" applyAlignment="1" pivotButton="0" quotePrefix="0" xfId="0">
      <alignment horizontal="center" vertical="center" wrapText="1"/>
    </xf>
    <xf numFmtId="165" fontId="6" fillId="4" borderId="1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/>
    </xf>
    <xf numFmtId="0" fontId="19" fillId="0" borderId="7" applyAlignment="1" pivotButton="0" quotePrefix="0" xfId="0">
      <alignment horizontal="center" vertical="center"/>
    </xf>
    <xf numFmtId="0" fontId="20" fillId="0" borderId="7" applyAlignment="1" pivotButton="0" quotePrefix="0" xfId="0">
      <alignment horizontal="center" vertical="center"/>
    </xf>
    <xf numFmtId="2" fontId="20" fillId="6" borderId="4" applyAlignment="1" pivotButton="0" quotePrefix="0" xfId="0">
      <alignment horizontal="center" vertical="center"/>
    </xf>
    <xf numFmtId="9" fontId="20" fillId="6" borderId="4" applyAlignment="1" pivotButton="0" quotePrefix="0" xfId="0">
      <alignment horizontal="center" vertical="center" wrapText="1"/>
    </xf>
    <xf numFmtId="2" fontId="20" fillId="6" borderId="4" applyAlignment="1" pivotButton="0" quotePrefix="0" xfId="0">
      <alignment horizontal="center" vertical="center" wrapText="1"/>
    </xf>
    <xf numFmtId="2" fontId="6" fillId="6" borderId="4" applyAlignment="1" pivotButton="0" quotePrefix="0" xfId="0">
      <alignment horizontal="center" vertical="center"/>
    </xf>
    <xf numFmtId="164" fontId="6" fillId="6" borderId="4" applyAlignment="1" pivotButton="0" quotePrefix="0" xfId="0">
      <alignment horizontal="center" vertical="center" wrapText="1"/>
    </xf>
    <xf numFmtId="2" fontId="6" fillId="6" borderId="4" applyAlignment="1" pivotButton="0" quotePrefix="0" xfId="0">
      <alignment horizontal="center" vertical="center" wrapText="1"/>
    </xf>
    <xf numFmtId="2" fontId="20" fillId="0" borderId="4" applyAlignment="1" pivotButton="0" quotePrefix="0" xfId="0">
      <alignment horizontal="center" vertical="center"/>
    </xf>
    <xf numFmtId="9" fontId="20" fillId="0" borderId="4" applyAlignment="1" pivotButton="0" quotePrefix="0" xfId="0">
      <alignment horizontal="center" vertical="center" wrapText="1"/>
    </xf>
    <xf numFmtId="2" fontId="20" fillId="0" borderId="4" applyAlignment="1" pivotButton="0" quotePrefix="0" xfId="0">
      <alignment horizontal="center" vertical="center" wrapText="1"/>
    </xf>
    <xf numFmtId="2" fontId="6" fillId="0" borderId="4" applyAlignment="1" pivotButton="0" quotePrefix="0" xfId="0">
      <alignment horizontal="center" vertical="center"/>
    </xf>
    <xf numFmtId="164" fontId="6" fillId="0" borderId="4" applyAlignment="1" pivotButton="0" quotePrefix="0" xfId="0">
      <alignment horizontal="center" vertical="center" wrapText="1"/>
    </xf>
    <xf numFmtId="2" fontId="6" fillId="0" borderId="4" applyAlignment="1" pivotButton="0" quotePrefix="0" xfId="0">
      <alignment horizontal="center" vertical="center" wrapText="1"/>
    </xf>
    <xf numFmtId="2" fontId="20" fillId="0" borderId="4" applyAlignment="1" pivotButton="0" quotePrefix="0" xfId="0">
      <alignment horizontal="center" vertical="center"/>
    </xf>
    <xf numFmtId="9" fontId="20" fillId="0" borderId="4" applyAlignment="1" pivotButton="0" quotePrefix="0" xfId="0">
      <alignment horizontal="center" vertical="center" wrapText="1"/>
    </xf>
    <xf numFmtId="2" fontId="20" fillId="0" borderId="4" applyAlignment="1" pivotButton="0" quotePrefix="0" xfId="0">
      <alignment horizontal="center" vertical="center" wrapText="1"/>
    </xf>
    <xf numFmtId="2" fontId="6" fillId="0" borderId="4" applyAlignment="1" pivotButton="0" quotePrefix="0" xfId="0">
      <alignment horizontal="center" vertical="center"/>
    </xf>
    <xf numFmtId="164" fontId="6" fillId="0" borderId="4" applyAlignment="1" pivotButton="0" quotePrefix="0" xfId="0">
      <alignment horizontal="center" vertical="center" wrapText="1"/>
    </xf>
    <xf numFmtId="2" fontId="6" fillId="0" borderId="4" applyAlignment="1" pivotButton="0" quotePrefix="0" xfId="0">
      <alignment horizontal="center" vertical="center" wrapText="1"/>
    </xf>
    <xf numFmtId="2" fontId="6" fillId="0" borderId="9" applyAlignment="1" pivotButton="0" quotePrefix="0" xfId="0">
      <alignment horizontal="center" vertical="center"/>
    </xf>
    <xf numFmtId="164" fontId="6" fillId="0" borderId="9" applyAlignment="1" pivotButton="0" quotePrefix="0" xfId="0">
      <alignment horizontal="center" vertical="center" wrapText="1"/>
    </xf>
    <xf numFmtId="2" fontId="6" fillId="0" borderId="9" applyAlignment="1" pivotButton="0" quotePrefix="0" xfId="0">
      <alignment horizontal="center" vertical="center" wrapText="1"/>
    </xf>
    <xf numFmtId="2" fontId="6" fillId="4" borderId="14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164" fontId="6" fillId="4" borderId="14" applyAlignment="1" pivotButton="0" quotePrefix="0" xfId="0">
      <alignment horizontal="center" vertical="center" wrapText="1"/>
    </xf>
    <xf numFmtId="2" fontId="6" fillId="4" borderId="14" applyAlignment="1" pivotButton="0" quotePrefix="0" xfId="0">
      <alignment horizontal="center" vertical="center" wrapText="1"/>
    </xf>
    <xf numFmtId="2" fontId="6" fillId="4" borderId="16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164" fontId="6" fillId="4" borderId="16" applyAlignment="1" pivotButton="0" quotePrefix="0" xfId="0">
      <alignment horizontal="center" vertical="center" wrapText="1"/>
    </xf>
    <xf numFmtId="2" fontId="6" fillId="4" borderId="16" applyAlignment="1" pivotButton="0" quotePrefix="0" xfId="0">
      <alignment horizontal="center" vertical="center" wrapText="1"/>
    </xf>
    <xf numFmtId="2" fontId="20" fillId="0" borderId="7" applyAlignment="1" pivotButton="0" quotePrefix="0" xfId="0">
      <alignment horizontal="center" vertical="center"/>
    </xf>
    <xf numFmtId="9" fontId="20" fillId="0" borderId="7" applyAlignment="1" pivotButton="0" quotePrefix="0" xfId="0">
      <alignment horizontal="center" vertical="center" wrapText="1"/>
    </xf>
    <xf numFmtId="2" fontId="20" fillId="0" borderId="7" applyAlignment="1" pivotButton="0" quotePrefix="0" xfId="0">
      <alignment horizontal="center" vertical="center" wrapText="1"/>
    </xf>
    <xf numFmtId="0" fontId="20" fillId="0" borderId="4" applyAlignment="1" pivotButton="0" quotePrefix="0" xfId="0">
      <alignment horizontal="center" vertical="center" wrapText="1"/>
    </xf>
    <xf numFmtId="10" fontId="21" fillId="6" borderId="4" applyAlignment="1" pivotButton="0" quotePrefix="0" xfId="0">
      <alignment horizontal="center" vertical="center"/>
    </xf>
    <xf numFmtId="10" fontId="21" fillId="0" borderId="4" applyAlignment="1" pivotButton="0" quotePrefix="0" xfId="0">
      <alignment horizontal="center" vertical="center"/>
    </xf>
    <xf numFmtId="10" fontId="21" fillId="0" borderId="4" applyAlignment="1" pivotButton="0" quotePrefix="0" xfId="0">
      <alignment horizontal="center" vertical="center"/>
    </xf>
    <xf numFmtId="10" fontId="21" fillId="0" borderId="9" applyAlignment="1" pivotButton="0" quotePrefix="0" xfId="0">
      <alignment horizontal="center" vertical="center"/>
    </xf>
    <xf numFmtId="10" fontId="21" fillId="4" borderId="3" applyAlignment="1" pivotButton="0" quotePrefix="0" xfId="0">
      <alignment horizontal="center" vertical="center"/>
    </xf>
    <xf numFmtId="10" fontId="21" fillId="4" borderId="17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 vertical="center"/>
    </xf>
    <xf numFmtId="9" fontId="12" fillId="0" borderId="0" applyAlignment="1" pivotButton="0" quotePrefix="0" xfId="0">
      <alignment vertical="center"/>
    </xf>
    <xf numFmtId="0" fontId="6" fillId="9" borderId="4" applyAlignment="1" pivotButton="0" quotePrefix="0" xfId="0">
      <alignment horizontal="center" vertical="center"/>
    </xf>
    <xf numFmtId="0" fontId="20" fillId="9" borderId="4" applyAlignment="1" pivotButton="0" quotePrefix="0" xfId="0">
      <alignment horizontal="center" vertical="center"/>
    </xf>
    <xf numFmtId="9" fontId="6" fillId="9" borderId="4" applyAlignment="1" pivotButton="0" quotePrefix="0" xfId="0">
      <alignment horizontal="center" vertical="center" wrapText="1"/>
    </xf>
    <xf numFmtId="165" fontId="6" fillId="9" borderId="4" applyAlignment="1" pivotButton="0" quotePrefix="0" xfId="0">
      <alignment horizontal="center" vertical="center" wrapText="1"/>
    </xf>
    <xf numFmtId="0" fontId="20" fillId="10" borderId="4" applyAlignment="1" pivotButton="0" quotePrefix="0" xfId="0">
      <alignment horizontal="center" vertical="center"/>
    </xf>
    <xf numFmtId="2" fontId="20" fillId="9" borderId="4" applyAlignment="1" pivotButton="0" quotePrefix="0" xfId="0">
      <alignment horizontal="center" vertical="center"/>
    </xf>
    <xf numFmtId="9" fontId="20" fillId="9" borderId="4" applyAlignment="1" pivotButton="0" quotePrefix="0" xfId="0">
      <alignment horizontal="center" vertical="center" wrapText="1"/>
    </xf>
    <xf numFmtId="2" fontId="6" fillId="9" borderId="4" applyAlignment="1" pivotButton="0" quotePrefix="0" xfId="0">
      <alignment horizontal="center" vertical="center"/>
    </xf>
    <xf numFmtId="164" fontId="6" fillId="9" borderId="4" applyAlignment="1" pivotButton="0" quotePrefix="0" xfId="0">
      <alignment horizontal="center" vertical="center" wrapText="1"/>
    </xf>
    <xf numFmtId="2" fontId="20" fillId="9" borderId="4" applyAlignment="1" pivotButton="0" quotePrefix="0" xfId="0">
      <alignment horizontal="center" vertical="center" wrapText="1"/>
    </xf>
    <xf numFmtId="10" fontId="21" fillId="9" borderId="4" applyAlignment="1" pivotButton="0" quotePrefix="0" xfId="0">
      <alignment horizontal="center" vertical="center"/>
    </xf>
    <xf numFmtId="2" fontId="6" fillId="9" borderId="4" applyAlignment="1" pivotButton="0" quotePrefix="0" xfId="0">
      <alignment horizontal="center" vertical="center" wrapText="1"/>
    </xf>
    <xf numFmtId="0" fontId="19" fillId="9" borderId="4" applyAlignment="1" pivotButton="0" quotePrefix="0" xfId="0">
      <alignment horizontal="center" vertical="center"/>
    </xf>
    <xf numFmtId="0" fontId="20" fillId="7" borderId="4" applyAlignment="1" pivotButton="0" quotePrefix="0" xfId="0">
      <alignment horizontal="center" vertical="center"/>
    </xf>
    <xf numFmtId="0" fontId="19" fillId="10" borderId="4" applyAlignment="1" pivotButton="0" quotePrefix="0" xfId="0">
      <alignment horizontal="center" vertical="center"/>
    </xf>
    <xf numFmtId="0" fontId="8" fillId="9" borderId="4" applyAlignment="1" pivotButton="0" quotePrefix="0" xfId="0">
      <alignment horizontal="center" vertical="center"/>
    </xf>
    <xf numFmtId="0" fontId="22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26" pivotButton="0" quotePrefix="0" xfId="0"/>
    <xf numFmtId="0" fontId="0" fillId="0" borderId="6" pivotButton="0" quotePrefix="0" xfId="0"/>
    <xf numFmtId="0" fontId="0" fillId="0" borderId="1" pivotButton="0" quotePrefix="0" xfId="0"/>
    <xf numFmtId="0" fontId="0" fillId="0" borderId="7" pivotButton="0" quotePrefix="0" xfId="0"/>
    <xf numFmtId="165" fontId="6" fillId="0" borderId="4" applyAlignment="1" pivotButton="0" quotePrefix="0" xfId="0">
      <alignment horizontal="center" vertical="center" wrapText="1"/>
    </xf>
    <xf numFmtId="164" fontId="6" fillId="0" borderId="4" applyAlignment="1" pivotButton="0" quotePrefix="0" xfId="0">
      <alignment horizontal="center" vertical="center" wrapText="1"/>
    </xf>
    <xf numFmtId="165" fontId="6" fillId="6" borderId="4" applyAlignment="1" pivotButton="0" quotePrefix="0" xfId="0">
      <alignment horizontal="center" vertical="center" wrapText="1"/>
    </xf>
    <xf numFmtId="164" fontId="6" fillId="6" borderId="4" applyAlignment="1" pivotButton="0" quotePrefix="0" xfId="0">
      <alignment horizontal="center" vertical="center" wrapText="1"/>
    </xf>
    <xf numFmtId="165" fontId="6" fillId="9" borderId="4" applyAlignment="1" pivotButton="0" quotePrefix="0" xfId="0">
      <alignment horizontal="center" vertical="center" wrapText="1"/>
    </xf>
    <xf numFmtId="164" fontId="6" fillId="9" borderId="4" applyAlignment="1" pivotButton="0" quotePrefix="0" xfId="0">
      <alignment horizontal="center" vertical="center" wrapText="1"/>
    </xf>
    <xf numFmtId="165" fontId="6" fillId="0" borderId="9" applyAlignment="1" pivotButton="0" quotePrefix="0" xfId="0">
      <alignment horizontal="center" vertical="center" wrapText="1"/>
    </xf>
    <xf numFmtId="164" fontId="6" fillId="0" borderId="9" applyAlignment="1" pivotButton="0" quotePrefix="0" xfId="0">
      <alignment horizontal="center" vertical="center" wrapText="1"/>
    </xf>
    <xf numFmtId="165" fontId="6" fillId="4" borderId="14" applyAlignment="1" pivotButton="0" quotePrefix="0" xfId="0">
      <alignment horizontal="center" vertical="center" wrapText="1"/>
    </xf>
    <xf numFmtId="164" fontId="6" fillId="4" borderId="14" applyAlignment="1" pivotButton="0" quotePrefix="0" xfId="0">
      <alignment horizontal="center" vertical="center" wrapText="1"/>
    </xf>
    <xf numFmtId="165" fontId="6" fillId="4" borderId="16" applyAlignment="1" pivotButton="0" quotePrefix="0" xfId="0">
      <alignment horizontal="center" vertical="center" wrapText="1"/>
    </xf>
    <xf numFmtId="164" fontId="6" fillId="4" borderId="16" applyAlignment="1" pivotButton="0" quotePrefix="0" xfId="0">
      <alignment horizontal="center" vertical="center" wrapText="1"/>
    </xf>
    <xf numFmtId="164" fontId="7" fillId="0" borderId="4" applyAlignment="1" pivotButton="0" quotePrefix="0" xfId="0">
      <alignment horizontal="center" vertical="center"/>
    </xf>
    <xf numFmtId="164" fontId="7" fillId="3" borderId="4" applyAlignment="1" pivotButton="0" quotePrefix="0" xfId="0">
      <alignment horizontal="center" vertical="center"/>
    </xf>
    <xf numFmtId="164" fontId="7" fillId="0" borderId="4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fgColor rgb="FFFAF1D1"/>
          <bgColor rgb="FF000000"/>
        </patternFill>
      </fill>
    </dxf>
    <dxf>
      <font>
        <strike val="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filterMode="1">
    <outlinePr summaryBelow="0" summaryRight="0"/>
    <pageSetUpPr/>
  </sheetPr>
  <dimension ref="A1:N455"/>
  <sheetViews>
    <sheetView topLeftCell="A251" workbookViewId="0">
      <selection activeCell="C459" sqref="C459"/>
    </sheetView>
  </sheetViews>
  <sheetFormatPr baseColWidth="8" defaultColWidth="14" defaultRowHeight="15.2"/>
  <cols>
    <col width="25" customWidth="1" style="170" min="1" max="1"/>
    <col width="24.1442307692308" customWidth="1" style="170" min="4" max="4"/>
  </cols>
  <sheetData>
    <row r="1" ht="28.4" customHeight="1" s="170">
      <c r="A1" s="78" t="inlineStr">
        <is>
          <t>菜品成本卡</t>
        </is>
      </c>
      <c r="B1" s="171" t="n"/>
      <c r="C1" s="171" t="n"/>
      <c r="D1" s="171" t="n"/>
      <c r="E1" s="171" t="n"/>
      <c r="F1" s="171" t="n"/>
      <c r="G1" s="171" t="n"/>
      <c r="H1" s="171" t="n"/>
      <c r="I1" s="171" t="n"/>
      <c r="J1" s="171" t="n"/>
      <c r="K1" s="171" t="n"/>
      <c r="L1" s="172" t="n"/>
      <c r="M1" s="41" t="n"/>
    </row>
    <row r="2" hidden="1" ht="17.6" customHeight="1" s="170">
      <c r="A2" s="79" t="inlineStr">
        <is>
          <t>菜品</t>
        </is>
      </c>
      <c r="B2" s="79" t="inlineStr">
        <is>
          <t>名称</t>
        </is>
      </c>
      <c r="C2" s="66" t="inlineStr">
        <is>
          <t>分类</t>
        </is>
      </c>
      <c r="D2" s="79" t="inlineStr">
        <is>
          <t>进货渠道</t>
        </is>
      </c>
      <c r="E2" s="79" t="inlineStr">
        <is>
          <t>品牌</t>
        </is>
      </c>
      <c r="F2" s="79" t="inlineStr">
        <is>
          <t>采购价格(元)</t>
        </is>
      </c>
      <c r="G2" s="79" t="inlineStr">
        <is>
          <t>基础单位数量(g)</t>
        </is>
      </c>
      <c r="H2" s="79" t="inlineStr">
        <is>
          <t>标准出成率</t>
        </is>
      </c>
      <c r="I2" s="79" t="inlineStr">
        <is>
          <t>基础单价(元/g)</t>
        </is>
      </c>
      <c r="J2" s="79" t="inlineStr">
        <is>
          <t>配方用量(g)</t>
        </is>
      </c>
      <c r="K2" s="93" t="inlineStr">
        <is>
          <t>理论成本(元)</t>
        </is>
      </c>
      <c r="L2" s="79" t="inlineStr">
        <is>
          <t>备注</t>
        </is>
      </c>
      <c r="M2" s="150" t="n"/>
    </row>
    <row r="3" hidden="1" ht="17.6" customHeight="1" s="170">
      <c r="A3" s="93" t="inlineStr">
        <is>
          <t>云山雪花吊龙</t>
        </is>
      </c>
      <c r="B3" s="92" t="inlineStr">
        <is>
          <t>吊龙</t>
        </is>
      </c>
      <c r="C3" s="92">
        <f>VLOOKUP(B3,原材料价格表!$B$2:$J$242,9,)</f>
        <v/>
      </c>
      <c r="D3" s="92">
        <f>VLOOKUP(B3,原材料价格表!$B$2:$G$436,2,0)</f>
        <v/>
      </c>
      <c r="E3" s="92">
        <f>VLOOKUP(B3,原材料价格表!$B$2:$G$436,4,0)</f>
        <v/>
      </c>
      <c r="F3" s="122">
        <f>VLOOKUP(B3,原材料价格表!$B$2:$G$436,6,0)</f>
        <v/>
      </c>
      <c r="G3" s="92">
        <f>VLOOKUP(B3,原材料价格表!$B$2:$G$436,5,0)</f>
        <v/>
      </c>
      <c r="H3" s="123" t="n">
        <v>0.9</v>
      </c>
      <c r="I3" s="124">
        <f>F3/G3/H3</f>
        <v/>
      </c>
      <c r="J3" s="92" t="n">
        <v>250</v>
      </c>
      <c r="K3" s="124">
        <f>I3*J3</f>
        <v/>
      </c>
      <c r="L3" s="92" t="n"/>
      <c r="M3" s="41" t="n"/>
    </row>
    <row r="4" hidden="1" ht="17.6" customHeight="1" s="170">
      <c r="A4" s="173" t="n"/>
      <c r="B4" s="92" t="inlineStr">
        <is>
          <t>法香</t>
        </is>
      </c>
      <c r="C4" s="92">
        <f>VLOOKUP(B4,原材料价格表!$B$2:$J$242,9,)</f>
        <v/>
      </c>
      <c r="D4" s="92">
        <f>VLOOKUP(B4,原材料价格表!$B$2:$G$436,2,0)</f>
        <v/>
      </c>
      <c r="E4" s="92">
        <f>VLOOKUP(B4,原材料价格表!$B$2:$G$436,4,0)</f>
        <v/>
      </c>
      <c r="F4" s="122">
        <f>VLOOKUP(B4,原材料价格表!$B$2:$G$436,6,0)</f>
        <v/>
      </c>
      <c r="G4" s="92">
        <f>VLOOKUP(B4,原材料价格表!$B$2:$G$436,5,0)</f>
        <v/>
      </c>
      <c r="H4" s="123" t="n">
        <v>1</v>
      </c>
      <c r="I4" s="124">
        <f>F4/G4/H4</f>
        <v/>
      </c>
      <c r="J4" s="92" t="n">
        <v>120</v>
      </c>
      <c r="K4" s="124">
        <f>I4*J4</f>
        <v/>
      </c>
      <c r="L4" s="92" t="n"/>
      <c r="M4" s="41" t="n"/>
    </row>
    <row r="5" hidden="1" ht="17.6" customHeight="1" s="170">
      <c r="A5" s="173" t="n"/>
      <c r="B5" s="92" t="inlineStr">
        <is>
          <t>干冰</t>
        </is>
      </c>
      <c r="C5" s="92">
        <f>VLOOKUP(B5,原材料价格表!$B$2:$J$242,9,)</f>
        <v/>
      </c>
      <c r="D5" s="92">
        <f>VLOOKUP(B5,原材料价格表!$B$2:$G$436,2,0)</f>
        <v/>
      </c>
      <c r="E5" s="92">
        <f>VLOOKUP(B5,原材料价格表!$B$2:$G$436,4,0)</f>
        <v/>
      </c>
      <c r="F5" s="122">
        <f>VLOOKUP(B5,原材料价格表!$B$2:$G$436,6,0)</f>
        <v/>
      </c>
      <c r="G5" s="92">
        <f>VLOOKUP(B5,原材料价格表!$B$2:$G$436,5,0)</f>
        <v/>
      </c>
      <c r="H5" s="123" t="n">
        <v>1</v>
      </c>
      <c r="I5" s="124">
        <f>F5/G5/H5</f>
        <v/>
      </c>
      <c r="J5" s="92" t="n">
        <v>20</v>
      </c>
      <c r="K5" s="124">
        <f>I5*J5</f>
        <v/>
      </c>
      <c r="L5" s="92" t="n"/>
      <c r="M5" s="41" t="n"/>
    </row>
    <row r="6" hidden="1" ht="18" customHeight="1" s="170">
      <c r="A6" s="174" t="n"/>
      <c r="B6" s="95" t="inlineStr">
        <is>
          <t>售价</t>
        </is>
      </c>
      <c r="C6" s="92" t="n"/>
      <c r="D6" s="175" t="n">
        <v>88</v>
      </c>
      <c r="E6" s="95" t="inlineStr">
        <is>
          <t>售卖份量/g</t>
        </is>
      </c>
      <c r="F6" s="125">
        <f>SUM(J3:J5)</f>
        <v/>
      </c>
      <c r="G6" s="93" t="inlineStr">
        <is>
          <t>总成本（元）</t>
        </is>
      </c>
      <c r="H6" s="176">
        <f>SUM(K3:K5)</f>
        <v/>
      </c>
      <c r="I6" s="127" t="inlineStr">
        <is>
          <t>毛利/元</t>
        </is>
      </c>
      <c r="J6" s="127">
        <f>D6-H6</f>
        <v/>
      </c>
      <c r="K6" s="127" t="inlineStr">
        <is>
          <t>毛利率</t>
        </is>
      </c>
      <c r="L6" s="145">
        <f>J6/D6</f>
        <v/>
      </c>
      <c r="M6" s="151" t="n"/>
    </row>
    <row r="7" hidden="1" ht="15.6" customHeight="1" s="170">
      <c r="A7" s="93" t="inlineStr">
        <is>
          <t>木姜子鲜黄牛肉</t>
        </is>
      </c>
      <c r="B7" s="92" t="inlineStr">
        <is>
          <t>吊龙</t>
        </is>
      </c>
      <c r="C7" s="92">
        <f>VLOOKUP(B7,原材料价格表!$B$2:$J$242,9,)</f>
        <v/>
      </c>
      <c r="D7" s="92">
        <f>VLOOKUP(B7,原材料价格表!$B$2:$G$436,2,0)</f>
        <v/>
      </c>
      <c r="E7" s="92">
        <f>VLOOKUP(B7,原材料价格表!$B$2:$G$436,3,0)</f>
        <v/>
      </c>
      <c r="F7" s="122">
        <f>VLOOKUP(B7,原材料价格表!$B$2:$G$436,6,0)</f>
        <v/>
      </c>
      <c r="G7" s="92">
        <f>VLOOKUP(B7,原材料价格表!$B$2:$G$436,5,0)</f>
        <v/>
      </c>
      <c r="H7" s="123" t="n">
        <v>0.9</v>
      </c>
      <c r="I7" s="124">
        <f>F7/G7/H7</f>
        <v/>
      </c>
      <c r="J7" s="92" t="n">
        <v>120</v>
      </c>
      <c r="K7" s="124">
        <f>I7*J7</f>
        <v/>
      </c>
      <c r="L7" s="92" t="n"/>
    </row>
    <row r="8" hidden="1" ht="15.6" customHeight="1" s="170">
      <c r="A8" s="173" t="n"/>
      <c r="B8" s="92" t="inlineStr">
        <is>
          <t>木姜子</t>
        </is>
      </c>
      <c r="C8" s="92">
        <f>VLOOKUP(B8,原材料价格表!$B$2:$J$242,9,)</f>
        <v/>
      </c>
      <c r="D8" s="92">
        <f>VLOOKUP(B8,原材料价格表!$B$2:$G$436,2,0)</f>
        <v/>
      </c>
      <c r="E8" s="92">
        <f>VLOOKUP(B8,原材料价格表!$B$2:$G$436,3,0)</f>
        <v/>
      </c>
      <c r="F8" s="122">
        <f>VLOOKUP(B8,原材料价格表!$B$2:$G$436,6,0)</f>
        <v/>
      </c>
      <c r="G8" s="92">
        <f>VLOOKUP(B8,原材料价格表!$B$2:$G$436,5,0)</f>
        <v/>
      </c>
      <c r="H8" s="123" t="n">
        <v>1</v>
      </c>
      <c r="I8" s="124">
        <f>F8/G8/H8</f>
        <v/>
      </c>
      <c r="J8" s="92" t="n">
        <v>60</v>
      </c>
      <c r="K8" s="124">
        <f>I8*J8</f>
        <v/>
      </c>
      <c r="L8" s="92" t="n"/>
    </row>
    <row r="9" hidden="1" ht="18" customHeight="1" s="170">
      <c r="A9" s="174" t="n"/>
      <c r="B9" s="95" t="inlineStr">
        <is>
          <t>售价</t>
        </is>
      </c>
      <c r="C9" s="92" t="n"/>
      <c r="D9" s="175" t="n">
        <v>42</v>
      </c>
      <c r="E9" s="95" t="inlineStr">
        <is>
          <t>售卖份量/g</t>
        </is>
      </c>
      <c r="F9" s="125">
        <f>SUM(J7:J8)</f>
        <v/>
      </c>
      <c r="G9" s="93" t="inlineStr">
        <is>
          <t>总成本（元）</t>
        </is>
      </c>
      <c r="H9" s="176">
        <f>SUM(K7:K8)</f>
        <v/>
      </c>
      <c r="I9" s="127" t="inlineStr">
        <is>
          <t>毛利/元</t>
        </is>
      </c>
      <c r="J9" s="127">
        <f>D9-H9</f>
        <v/>
      </c>
      <c r="K9" s="127" t="inlineStr">
        <is>
          <t>毛利率</t>
        </is>
      </c>
      <c r="L9" s="145">
        <f>J9/D9</f>
        <v/>
      </c>
    </row>
    <row r="10" hidden="1" ht="15.6" customHeight="1" s="170">
      <c r="A10" s="93" t="inlineStr">
        <is>
          <t>糊辣椒鲜黄牛匙仁</t>
        </is>
      </c>
      <c r="B10" s="92" t="inlineStr">
        <is>
          <t>匙仁</t>
        </is>
      </c>
      <c r="C10" s="92">
        <f>VLOOKUP(B10,原材料价格表!$B$2:$J$242,9,)</f>
        <v/>
      </c>
      <c r="D10" s="92">
        <f>VLOOKUP(B10,原材料价格表!$B$2:$G$436,2,0)</f>
        <v/>
      </c>
      <c r="E10" s="92">
        <f>VLOOKUP(B10,原材料价格表!$B$2:$G$436,3,0)</f>
        <v/>
      </c>
      <c r="F10" s="122">
        <f>VLOOKUP(B10,原材料价格表!$B$2:$G$436,6,0)</f>
        <v/>
      </c>
      <c r="G10" s="92">
        <f>VLOOKUP(B10,原材料价格表!$B$2:$G$436,5,0)</f>
        <v/>
      </c>
      <c r="H10" s="123" t="n">
        <v>0.9</v>
      </c>
      <c r="I10" s="124">
        <f>F10/G10/H10</f>
        <v/>
      </c>
      <c r="J10" s="92" t="n">
        <v>120</v>
      </c>
      <c r="K10" s="124">
        <f>I10*J10</f>
        <v/>
      </c>
      <c r="L10" s="92" t="n"/>
    </row>
    <row r="11" hidden="1" ht="15.6" customHeight="1" s="170">
      <c r="A11" s="173" t="n"/>
      <c r="B11" s="92" t="inlineStr">
        <is>
          <t>糊辣椒</t>
        </is>
      </c>
      <c r="C11" s="92">
        <f>VLOOKUP(B11,原材料价格表!$B$2:$J$242,9,)</f>
        <v/>
      </c>
      <c r="D11" s="92">
        <f>VLOOKUP(B11,原材料价格表!$B$2:$G$436,2,0)</f>
        <v/>
      </c>
      <c r="E11" s="92">
        <f>VLOOKUP(B11,原材料价格表!$B$2:$G$436,3,0)</f>
        <v/>
      </c>
      <c r="F11" s="122" t="n">
        <v>25</v>
      </c>
      <c r="G11" s="92">
        <f>VLOOKUP(B11,原材料价格表!$B$2:$G$436,5,0)</f>
        <v/>
      </c>
      <c r="H11" s="123" t="n">
        <v>1</v>
      </c>
      <c r="I11" s="124">
        <f>F11/G11/H11</f>
        <v/>
      </c>
      <c r="J11" s="92" t="n">
        <v>25</v>
      </c>
      <c r="K11" s="124">
        <f>I11*J11</f>
        <v/>
      </c>
      <c r="L11" s="92" t="n"/>
    </row>
    <row r="12" hidden="1" ht="22" customHeight="1" s="170">
      <c r="A12" s="173" t="n"/>
      <c r="B12" s="95" t="inlineStr">
        <is>
          <t>干香茅草</t>
        </is>
      </c>
      <c r="C12" s="92">
        <f>VLOOKUP(B12,原材料价格表!$B$2:$J$242,9,)</f>
        <v/>
      </c>
      <c r="D12" s="92">
        <f>VLOOKUP(B12,原材料价格表!$B$2:$G$436,2,0)</f>
        <v/>
      </c>
      <c r="E12" s="92">
        <f>VLOOKUP(B12,原材料价格表!$B$2:$G$436,3,0)</f>
        <v/>
      </c>
      <c r="F12" s="122">
        <f>VLOOKUP(B12,原材料价格表!$B$2:$G$436,6,0)</f>
        <v/>
      </c>
      <c r="G12" s="92">
        <f>VLOOKUP(B12,原材料价格表!$B$2:$G$436,5,0)</f>
        <v/>
      </c>
      <c r="H12" s="123" t="n">
        <v>1</v>
      </c>
      <c r="I12" s="124">
        <f>F12/G12/H12</f>
        <v/>
      </c>
      <c r="J12" s="92" t="n">
        <v>25</v>
      </c>
      <c r="K12" s="124">
        <f>I12*J12</f>
        <v/>
      </c>
      <c r="L12" s="145" t="n"/>
    </row>
    <row r="13" hidden="1" ht="18" customHeight="1" s="170">
      <c r="A13" s="174" t="n"/>
      <c r="B13" s="95" t="inlineStr">
        <is>
          <t>售价</t>
        </is>
      </c>
      <c r="C13" s="92" t="n"/>
      <c r="D13" s="175" t="n">
        <v>38</v>
      </c>
      <c r="E13" s="95" t="inlineStr">
        <is>
          <t>售卖份量/g</t>
        </is>
      </c>
      <c r="F13" s="125">
        <f>SUM(J10:J12)</f>
        <v/>
      </c>
      <c r="G13" s="93" t="inlineStr">
        <is>
          <t>总成本（元）</t>
        </is>
      </c>
      <c r="H13" s="176">
        <f>SUM(K10:K12)</f>
        <v/>
      </c>
      <c r="I13" s="127" t="inlineStr">
        <is>
          <t>毛利/元</t>
        </is>
      </c>
      <c r="J13" s="127">
        <f>D13-H13</f>
        <v/>
      </c>
      <c r="K13" s="127" t="inlineStr">
        <is>
          <t>毛利率</t>
        </is>
      </c>
      <c r="L13" s="145">
        <f>J13/D13</f>
        <v/>
      </c>
    </row>
    <row r="14" hidden="1" ht="15.6" customHeight="1" s="170">
      <c r="A14" s="93" t="inlineStr">
        <is>
          <t>野蒜酥五花趾</t>
        </is>
      </c>
      <c r="B14" s="92" t="inlineStr">
        <is>
          <t>五花腱</t>
        </is>
      </c>
      <c r="C14" s="92">
        <f>VLOOKUP(B14,原材料价格表!$B$2:$J$242,9,)</f>
        <v/>
      </c>
      <c r="D14" s="92">
        <f>VLOOKUP(B14,原材料价格表!$B$2:$G$436,2,0)</f>
        <v/>
      </c>
      <c r="E14" s="92">
        <f>VLOOKUP(B14,原材料价格表!$B$2:$G$436,3,0)</f>
        <v/>
      </c>
      <c r="F14" s="122">
        <f>VLOOKUP(B14,原材料价格表!$B$2:$G$436,6,0)</f>
        <v/>
      </c>
      <c r="G14" s="92">
        <f>VLOOKUP(B14,原材料价格表!$B$2:$G$436,5,0)</f>
        <v/>
      </c>
      <c r="H14" s="123" t="n">
        <v>0.9</v>
      </c>
      <c r="I14" s="124">
        <f>F14/G14/H14</f>
        <v/>
      </c>
      <c r="J14" s="92" t="n">
        <v>120</v>
      </c>
      <c r="K14" s="124">
        <f>I14*J14</f>
        <v/>
      </c>
      <c r="L14" s="92" t="n"/>
    </row>
    <row r="15" hidden="1" ht="15.6" customHeight="1" s="170">
      <c r="A15" s="173" t="n"/>
      <c r="B15" s="92" t="inlineStr">
        <is>
          <t>金蒜酥</t>
        </is>
      </c>
      <c r="C15" s="92">
        <f>VLOOKUP(B15,原材料价格表!$B$2:$J$242,9,)</f>
        <v/>
      </c>
      <c r="D15" s="92">
        <f>VLOOKUP(B15,原材料价格表!$B$2:$G$436,2,0)</f>
        <v/>
      </c>
      <c r="E15" s="92">
        <f>VLOOKUP(B15,原材料价格表!$B$2:$G$436,3,0)</f>
        <v/>
      </c>
      <c r="F15" s="122">
        <f>VLOOKUP(B15,原材料价格表!$B$2:$G$436,6,0)</f>
        <v/>
      </c>
      <c r="G15" s="92">
        <f>VLOOKUP(B15,原材料价格表!$B$2:$G$436,5,0)</f>
        <v/>
      </c>
      <c r="H15" s="123" t="n">
        <v>1</v>
      </c>
      <c r="I15" s="124">
        <f>F15/G15/H15</f>
        <v/>
      </c>
      <c r="J15" s="92" t="n">
        <v>40</v>
      </c>
      <c r="K15" s="124">
        <f>I15*J15</f>
        <v/>
      </c>
      <c r="L15" s="92" t="n"/>
    </row>
    <row r="16" hidden="1" ht="18" customHeight="1" s="170">
      <c r="A16" s="174" t="n"/>
      <c r="B16" s="95" t="inlineStr">
        <is>
          <t>售价</t>
        </is>
      </c>
      <c r="C16" s="92" t="n"/>
      <c r="D16" s="175" t="n">
        <v>38</v>
      </c>
      <c r="E16" s="95" t="inlineStr">
        <is>
          <t>售卖份量/g</t>
        </is>
      </c>
      <c r="F16" s="125">
        <f>SUM(J14:J15)</f>
        <v/>
      </c>
      <c r="G16" s="93" t="inlineStr">
        <is>
          <t>总成本（元）</t>
        </is>
      </c>
      <c r="H16" s="176">
        <f>SUM(K14:K15)</f>
        <v/>
      </c>
      <c r="I16" s="127" t="inlineStr">
        <is>
          <t>毛利/元</t>
        </is>
      </c>
      <c r="J16" s="127">
        <f>D16-H16</f>
        <v/>
      </c>
      <c r="K16" s="127" t="inlineStr">
        <is>
          <t>毛利率</t>
        </is>
      </c>
      <c r="L16" s="145">
        <f>J16/D16</f>
        <v/>
      </c>
    </row>
    <row r="17" hidden="1" ht="15.6" customHeight="1" s="170">
      <c r="A17" s="93" t="inlineStr">
        <is>
          <t>紫苏半边云</t>
        </is>
      </c>
      <c r="B17" s="92" t="inlineStr">
        <is>
          <t>胸口油</t>
        </is>
      </c>
      <c r="C17" s="92">
        <f>VLOOKUP(B17,原材料价格表!$B$2:$J$242,9,)</f>
        <v/>
      </c>
      <c r="D17" s="92">
        <f>VLOOKUP(B17,原材料价格表!$B$2:$G$436,2,0)</f>
        <v/>
      </c>
      <c r="E17" s="92">
        <f>VLOOKUP(B17,原材料价格表!$B$2:$G$436,3,0)</f>
        <v/>
      </c>
      <c r="F17" s="122">
        <f>VLOOKUP(B17,原材料价格表!$B$2:$G$436,6,0)</f>
        <v/>
      </c>
      <c r="G17" s="92">
        <f>VLOOKUP(B17,原材料价格表!$B$2:$G$436,5,0)</f>
        <v/>
      </c>
      <c r="H17" s="123" t="n">
        <v>0.7</v>
      </c>
      <c r="I17" s="124">
        <f>F17/G17/H17</f>
        <v/>
      </c>
      <c r="J17" s="92" t="n">
        <v>120</v>
      </c>
      <c r="K17" s="124">
        <f>I17*J17</f>
        <v/>
      </c>
      <c r="L17" s="92" t="n"/>
    </row>
    <row r="18" hidden="1" ht="15.6" customHeight="1" s="170">
      <c r="A18" s="173" t="n"/>
      <c r="B18" s="92" t="inlineStr">
        <is>
          <t>紫苏叶</t>
        </is>
      </c>
      <c r="C18" s="92">
        <f>VLOOKUP(B18,原材料价格表!$B$2:$J$242,9,)</f>
        <v/>
      </c>
      <c r="D18" s="92">
        <f>VLOOKUP(B18,原材料价格表!$B$2:$G$436,2,0)</f>
        <v/>
      </c>
      <c r="E18" s="92">
        <f>VLOOKUP(B18,原材料价格表!$B$2:$G$436,3,0)</f>
        <v/>
      </c>
      <c r="F18" s="122">
        <f>VLOOKUP(B18,原材料价格表!$B$2:$G$436,6,0)</f>
        <v/>
      </c>
      <c r="G18" s="92">
        <f>VLOOKUP(B18,原材料价格表!$B$2:$G$436,5,0)</f>
        <v/>
      </c>
      <c r="H18" s="123" t="n">
        <v>1</v>
      </c>
      <c r="I18" s="124">
        <f>F18/G18/H18</f>
        <v/>
      </c>
      <c r="J18" s="92" t="n">
        <v>10</v>
      </c>
      <c r="K18" s="124">
        <f>I18*J18</f>
        <v/>
      </c>
      <c r="L18" s="92" t="n"/>
    </row>
    <row r="19" hidden="1" ht="22" customHeight="1" s="170">
      <c r="A19" s="173" t="n"/>
      <c r="B19" s="95" t="inlineStr">
        <is>
          <t>紫苏碎</t>
        </is>
      </c>
      <c r="C19" s="92">
        <f>VLOOKUP(B19,原材料价格表!$B$2:$J$242,9,)</f>
        <v/>
      </c>
      <c r="D19" s="92">
        <f>VLOOKUP(B19,原材料价格表!$B$2:$G$436,2,0)</f>
        <v/>
      </c>
      <c r="E19" s="92">
        <f>VLOOKUP(B19,原材料价格表!$B$2:$G$436,3,0)</f>
        <v/>
      </c>
      <c r="F19" s="122">
        <f>VLOOKUP(B19,原材料价格表!$B$2:$G$436,6,0)</f>
        <v/>
      </c>
      <c r="G19" s="92">
        <f>VLOOKUP(B19,原材料价格表!$B$2:$G$436,5,0)</f>
        <v/>
      </c>
      <c r="H19" s="123" t="n">
        <v>1</v>
      </c>
      <c r="I19" s="124">
        <f>F19/G19/H19</f>
        <v/>
      </c>
      <c r="J19" s="92" t="n">
        <v>5</v>
      </c>
      <c r="K19" s="124">
        <f>I19*J19</f>
        <v/>
      </c>
      <c r="L19" s="145" t="n"/>
    </row>
    <row r="20" hidden="1" ht="18" customHeight="1" s="170">
      <c r="A20" s="174" t="n"/>
      <c r="B20" s="95" t="inlineStr">
        <is>
          <t>售价</t>
        </is>
      </c>
      <c r="C20" s="92" t="n"/>
      <c r="D20" s="175" t="n">
        <v>38</v>
      </c>
      <c r="E20" s="95" t="inlineStr">
        <is>
          <t>售卖份量/g</t>
        </is>
      </c>
      <c r="F20" s="125">
        <f>SUM(J17:J19)</f>
        <v/>
      </c>
      <c r="G20" s="93" t="inlineStr">
        <is>
          <t>总成本（元）</t>
        </is>
      </c>
      <c r="H20" s="176">
        <f>SUM(K17:K19)</f>
        <v/>
      </c>
      <c r="I20" s="127" t="inlineStr">
        <is>
          <t>毛利/元</t>
        </is>
      </c>
      <c r="J20" s="127">
        <f>D20-H20</f>
        <v/>
      </c>
      <c r="K20" s="127" t="inlineStr">
        <is>
          <t>毛利率</t>
        </is>
      </c>
      <c r="L20" s="145">
        <f>J20/D20</f>
        <v/>
      </c>
    </row>
    <row r="21" hidden="1" ht="15.6" customHeight="1" s="170">
      <c r="A21" s="91" t="inlineStr">
        <is>
          <t>大地飞雪(M9纯血和牛)</t>
        </is>
      </c>
      <c r="B21" s="92" t="inlineStr">
        <is>
          <t>M9和牛</t>
        </is>
      </c>
      <c r="C21" s="92">
        <f>VLOOKUP(B21,原材料价格表!$B$2:$J$242,9,)</f>
        <v/>
      </c>
      <c r="D21" s="92">
        <f>VLOOKUP(B21,原材料价格表!$B$2:$G$436,2,0)</f>
        <v/>
      </c>
      <c r="E21" s="92">
        <f>VLOOKUP(B21,原材料价格表!$B$2:$G$436,3,0)</f>
        <v/>
      </c>
      <c r="F21" s="122">
        <f>VLOOKUP(B21,原材料价格表!$B$2:$G$436,6,0)</f>
        <v/>
      </c>
      <c r="G21" s="92">
        <f>VLOOKUP(B21,原材料价格表!$B$2:$G$436,5,0)</f>
        <v/>
      </c>
      <c r="H21" s="123" t="n">
        <v>0.85</v>
      </c>
      <c r="I21" s="124">
        <f>F21/G21/H21</f>
        <v/>
      </c>
      <c r="J21" s="92" t="n">
        <v>200</v>
      </c>
      <c r="K21" s="124">
        <f>I21*J21</f>
        <v/>
      </c>
      <c r="L21" s="92" t="n"/>
    </row>
    <row r="22" hidden="1" ht="18" customHeight="1" s="170">
      <c r="A22" s="174" t="n"/>
      <c r="B22" s="95" t="inlineStr">
        <is>
          <t>售价</t>
        </is>
      </c>
      <c r="C22" s="92" t="n"/>
      <c r="D22" s="175" t="n">
        <v>128</v>
      </c>
      <c r="E22" s="95" t="inlineStr">
        <is>
          <t>售卖份量/g</t>
        </is>
      </c>
      <c r="F22" s="125">
        <f>SUM(J21)</f>
        <v/>
      </c>
      <c r="G22" s="93" t="inlineStr">
        <is>
          <t>总成本（元）</t>
        </is>
      </c>
      <c r="H22" s="176">
        <f>SUM(K21)</f>
        <v/>
      </c>
      <c r="I22" s="127" t="inlineStr">
        <is>
          <t>毛利/元</t>
        </is>
      </c>
      <c r="J22" s="127">
        <f>D22-H22</f>
        <v/>
      </c>
      <c r="K22" s="127" t="inlineStr">
        <is>
          <t>毛利率</t>
        </is>
      </c>
      <c r="L22" s="145">
        <f>J22/D22</f>
        <v/>
      </c>
    </row>
    <row r="23" hidden="1" ht="15.6" customHeight="1" s="170">
      <c r="A23" s="93" t="inlineStr">
        <is>
          <t xml:space="preserve">
黑松露和牛肉开口笑</t>
        </is>
      </c>
      <c r="B23" s="92" t="inlineStr">
        <is>
          <t>和牛肉糜</t>
        </is>
      </c>
      <c r="C23" s="92">
        <f>VLOOKUP(B23,原材料价格表!$B$2:$J$242,9,)</f>
        <v/>
      </c>
      <c r="D23" s="92">
        <f>VLOOKUP(B23,原材料价格表!$B$2:$G$436,2,0)</f>
        <v/>
      </c>
      <c r="E23" s="92">
        <f>VLOOKUP(B23,原材料价格表!$B$2:$G$436,3,0)</f>
        <v/>
      </c>
      <c r="F23" s="122">
        <f>VLOOKUP(B23,原材料价格表!$B$2:$G$436,6,0)</f>
        <v/>
      </c>
      <c r="G23" s="92">
        <f>VLOOKUP(B23,原材料价格表!$B$2:$G$436,5,0)</f>
        <v/>
      </c>
      <c r="H23" s="123" t="n">
        <v>1</v>
      </c>
      <c r="I23" s="124">
        <f>F23/G23/H23</f>
        <v/>
      </c>
      <c r="J23" s="92" t="n">
        <v>110</v>
      </c>
      <c r="K23" s="124">
        <f>I23*J23</f>
        <v/>
      </c>
      <c r="L23" s="92" t="n"/>
    </row>
    <row r="24" hidden="1" ht="20" customHeight="1" s="170">
      <c r="A24" s="173" t="n"/>
      <c r="B24" s="92" t="inlineStr">
        <is>
          <t>黑松露酱</t>
        </is>
      </c>
      <c r="C24" s="92">
        <f>VLOOKUP(B24,原材料价格表!$B$2:$J$242,9,)</f>
        <v/>
      </c>
      <c r="D24" s="92">
        <f>VLOOKUP(B24,原材料价格表!$B$2:$G$436,2,0)</f>
        <v/>
      </c>
      <c r="E24" s="92">
        <f>VLOOKUP(B24,原材料价格表!$B$2:$G$436,3,0)</f>
        <v/>
      </c>
      <c r="F24" s="122">
        <f>VLOOKUP(B24,原材料价格表!$B$2:$G$436,6,0)</f>
        <v/>
      </c>
      <c r="G24" s="92">
        <f>VLOOKUP(B24,原材料价格表!$B$2:$G$436,5,0)</f>
        <v/>
      </c>
      <c r="H24" s="123" t="n">
        <v>1</v>
      </c>
      <c r="I24" s="124">
        <f>F24/G24/H24</f>
        <v/>
      </c>
      <c r="J24" s="92" t="n">
        <v>5</v>
      </c>
      <c r="K24" s="124">
        <f>I24*J24</f>
        <v/>
      </c>
      <c r="L24" s="92" t="n"/>
      <c r="N24" s="149">
        <f>61/2</f>
        <v/>
      </c>
    </row>
    <row r="25" hidden="1" ht="20" customHeight="1" s="170">
      <c r="A25" s="173" t="n"/>
      <c r="B25" s="92" t="inlineStr">
        <is>
          <t>饺子皮</t>
        </is>
      </c>
      <c r="C25" s="92">
        <f>VLOOKUP(B25,原材料价格表!$B$2:$J$242,9,)</f>
        <v/>
      </c>
      <c r="D25" s="92">
        <f>VLOOKUP(B25,原材料价格表!$B$2:$G$436,2,0)</f>
        <v/>
      </c>
      <c r="E25" s="92">
        <f>VLOOKUP(B25,原材料价格表!$B$2:$G$436,3,0)</f>
        <v/>
      </c>
      <c r="F25" s="122">
        <f>VLOOKUP(B25,原材料价格表!$B$2:$G$436,6,0)</f>
        <v/>
      </c>
      <c r="G25" s="92">
        <f>VLOOKUP(B25,原材料价格表!$B$2:$G$436,5,0)</f>
        <v/>
      </c>
      <c r="H25" s="123" t="n">
        <v>1</v>
      </c>
      <c r="I25" s="124">
        <f>F25/G25/H25</f>
        <v/>
      </c>
      <c r="J25" s="92" t="n">
        <v>60</v>
      </c>
      <c r="K25" s="124">
        <f>I25*J25</f>
        <v/>
      </c>
      <c r="L25" s="92" t="n"/>
    </row>
    <row r="26" hidden="1" ht="18" customHeight="1" s="170">
      <c r="A26" s="174" t="n"/>
      <c r="B26" s="95" t="inlineStr">
        <is>
          <t>售价</t>
        </is>
      </c>
      <c r="C26" s="92" t="n"/>
      <c r="D26" s="175" t="n">
        <v>28</v>
      </c>
      <c r="E26" s="95" t="inlineStr">
        <is>
          <t>售卖份量/g</t>
        </is>
      </c>
      <c r="F26" s="125">
        <f>SUM(J23:J25)</f>
        <v/>
      </c>
      <c r="G26" s="93" t="inlineStr">
        <is>
          <t>总成本（元）</t>
        </is>
      </c>
      <c r="H26" s="176">
        <f>SUM(K23:K25)</f>
        <v/>
      </c>
      <c r="I26" s="127" t="inlineStr">
        <is>
          <t>毛利/元</t>
        </is>
      </c>
      <c r="J26" s="127">
        <f>D26-H26</f>
        <v/>
      </c>
      <c r="K26" s="127" t="inlineStr">
        <is>
          <t>毛利率</t>
        </is>
      </c>
      <c r="L26" s="145">
        <f>J26/D26</f>
        <v/>
      </c>
    </row>
    <row r="27" hidden="1" ht="15.6" customHeight="1" s="170">
      <c r="A27" s="93" t="inlineStr">
        <is>
          <t xml:space="preserve">
黑松露和牛肉开口笑</t>
        </is>
      </c>
      <c r="B27" s="92" t="inlineStr">
        <is>
          <t>匙仁</t>
        </is>
      </c>
      <c r="C27" s="92">
        <f>VLOOKUP(B27,原材料价格表!$B$2:$J$242,9,)</f>
        <v/>
      </c>
      <c r="D27" s="92">
        <f>VLOOKUP(B27,原材料价格表!$B$2:$G$436,2,0)</f>
        <v/>
      </c>
      <c r="E27" s="92">
        <f>VLOOKUP(B27,原材料价格表!$B$2:$G$436,3,0)</f>
        <v/>
      </c>
      <c r="F27" s="122">
        <f>VLOOKUP(B27,原材料价格表!$B$2:$G$436,6,0)</f>
        <v/>
      </c>
      <c r="G27" s="92">
        <f>VLOOKUP(B27,原材料价格表!$B$2:$G$436,5,0)</f>
        <v/>
      </c>
      <c r="H27" s="123" t="n">
        <v>0.9</v>
      </c>
      <c r="I27" s="124">
        <f>F27/G27/H27</f>
        <v/>
      </c>
      <c r="J27" s="92">
        <f>110/4</f>
        <v/>
      </c>
      <c r="K27" s="124">
        <f>I27*J27</f>
        <v/>
      </c>
      <c r="L27" s="92" t="n"/>
    </row>
    <row r="28" hidden="1" ht="15.6" customHeight="1" s="170">
      <c r="A28" s="173" t="n"/>
      <c r="B28" s="92" t="inlineStr">
        <is>
          <t>胸口油</t>
        </is>
      </c>
      <c r="C28" s="92">
        <f>VLOOKUP(B28,原材料价格表!$B$2:$J$242,9,)</f>
        <v/>
      </c>
      <c r="D28" s="92">
        <f>VLOOKUP(B28,原材料价格表!$B$2:$G$436,2,0)</f>
        <v/>
      </c>
      <c r="E28" s="92">
        <f>VLOOKUP(B28,原材料价格表!$B$2:$G$436,3,0)</f>
        <v/>
      </c>
      <c r="F28" s="122">
        <f>VLOOKUP(B28,原材料价格表!$B$2:$G$436,6,0)</f>
        <v/>
      </c>
      <c r="G28" s="92">
        <f>VLOOKUP(B28,原材料价格表!$B$2:$G$436,5,0)</f>
        <v/>
      </c>
      <c r="H28" s="123" t="n">
        <v>0.9</v>
      </c>
      <c r="I28" s="124">
        <f>F28/G28/H28</f>
        <v/>
      </c>
      <c r="J28" s="92">
        <f>110/4</f>
        <v/>
      </c>
      <c r="K28" s="124">
        <f>I28*J28</f>
        <v/>
      </c>
      <c r="L28" s="92" t="n"/>
    </row>
    <row r="29" hidden="1" ht="15.6" customHeight="1" s="170">
      <c r="A29" s="173" t="n"/>
      <c r="B29" s="92" t="inlineStr">
        <is>
          <t>五花腱</t>
        </is>
      </c>
      <c r="C29" s="92">
        <f>VLOOKUP(B29,原材料价格表!$B$2:$J$242,9,)</f>
        <v/>
      </c>
      <c r="D29" s="92">
        <f>VLOOKUP(B29,原材料价格表!$B$2:$G$436,2,0)</f>
        <v/>
      </c>
      <c r="E29" s="92">
        <f>VLOOKUP(B29,原材料价格表!$B$2:$G$436,3,0)</f>
        <v/>
      </c>
      <c r="F29" s="122">
        <f>VLOOKUP(B29,原材料价格表!$B$2:$G$436,6,0)</f>
        <v/>
      </c>
      <c r="G29" s="92">
        <f>VLOOKUP(B29,原材料价格表!$B$2:$G$436,5,0)</f>
        <v/>
      </c>
      <c r="H29" s="123" t="n">
        <v>0.9</v>
      </c>
      <c r="I29" s="124">
        <f>F29/G29/H29</f>
        <v/>
      </c>
      <c r="J29" s="92">
        <f>110/4</f>
        <v/>
      </c>
      <c r="K29" s="124">
        <f>I29*J29</f>
        <v/>
      </c>
      <c r="L29" s="92" t="n"/>
    </row>
    <row r="30" hidden="1" ht="15.6" customHeight="1" s="170">
      <c r="A30" s="173" t="n"/>
      <c r="B30" s="92" t="inlineStr">
        <is>
          <t>M9和牛</t>
        </is>
      </c>
      <c r="C30" s="92">
        <f>VLOOKUP(B30,原材料价格表!$B$2:$J$242,9,)</f>
        <v/>
      </c>
      <c r="D30" s="92">
        <f>VLOOKUP(B30,原材料价格表!$B$2:$G$436,2,0)</f>
        <v/>
      </c>
      <c r="E30" s="92">
        <f>VLOOKUP(B30,原材料价格表!$B$2:$G$436,3,0)</f>
        <v/>
      </c>
      <c r="F30" s="122">
        <f>VLOOKUP(B30,原材料价格表!$B$2:$G$436,6,0)</f>
        <v/>
      </c>
      <c r="G30" s="92">
        <f>VLOOKUP(B30,原材料价格表!$B$2:$G$436,5,0)</f>
        <v/>
      </c>
      <c r="H30" s="123" t="n">
        <v>0.9</v>
      </c>
      <c r="I30" s="124">
        <f>F30/G30/H30</f>
        <v/>
      </c>
      <c r="J30" s="92">
        <f>110/4</f>
        <v/>
      </c>
      <c r="K30" s="124">
        <f>I30*J30</f>
        <v/>
      </c>
      <c r="L30" s="92" t="n"/>
    </row>
    <row r="31" hidden="1" ht="15.6" customHeight="1" s="170">
      <c r="A31" s="173" t="n"/>
      <c r="B31" s="92" t="inlineStr">
        <is>
          <t>黑松露酱</t>
        </is>
      </c>
      <c r="C31" s="92">
        <f>VLOOKUP(B31,原材料价格表!$B$2:$J$242,9,)</f>
        <v/>
      </c>
      <c r="D31" s="92">
        <f>VLOOKUP(B31,原材料价格表!$B$2:$G$436,2,0)</f>
        <v/>
      </c>
      <c r="E31" s="92">
        <f>VLOOKUP(B31,原材料价格表!$B$2:$G$436,3,0)</f>
        <v/>
      </c>
      <c r="F31" s="122">
        <f>VLOOKUP(B31,原材料价格表!$B$2:$G$436,6,0)</f>
        <v/>
      </c>
      <c r="G31" s="92">
        <f>VLOOKUP(B31,原材料价格表!$B$2:$G$436,5,0)</f>
        <v/>
      </c>
      <c r="H31" s="123" t="n">
        <v>1</v>
      </c>
      <c r="I31" s="124">
        <f>F31/G31/H31</f>
        <v/>
      </c>
      <c r="J31" s="92" t="n">
        <v>5</v>
      </c>
      <c r="K31" s="124">
        <f>I31*J31</f>
        <v/>
      </c>
      <c r="L31" s="92" t="n"/>
    </row>
    <row r="32" hidden="1" ht="15.6" customHeight="1" s="170">
      <c r="A32" s="173" t="n"/>
      <c r="B32" s="92" t="inlineStr">
        <is>
          <t>饺子皮</t>
        </is>
      </c>
      <c r="C32" s="92">
        <f>VLOOKUP(B32,原材料价格表!$B$2:$J$242,9,)</f>
        <v/>
      </c>
      <c r="D32" s="92">
        <f>VLOOKUP(B32,原材料价格表!$B$2:$G$436,2,0)</f>
        <v/>
      </c>
      <c r="E32" s="92">
        <f>VLOOKUP(B32,原材料价格表!$B$2:$G$436,3,0)</f>
        <v/>
      </c>
      <c r="F32" s="122">
        <f>VLOOKUP(B32,原材料价格表!$B$2:$G$436,6,0)</f>
        <v/>
      </c>
      <c r="G32" s="92">
        <f>VLOOKUP(B32,原材料价格表!$B$2:$G$436,5,0)</f>
        <v/>
      </c>
      <c r="H32" s="123" t="n">
        <v>1</v>
      </c>
      <c r="I32" s="124">
        <f>F32/G32/H32</f>
        <v/>
      </c>
      <c r="J32" s="92" t="n">
        <v>60</v>
      </c>
      <c r="K32" s="124">
        <f>I32*J32</f>
        <v/>
      </c>
      <c r="L32" s="92" t="n"/>
    </row>
    <row r="33" hidden="1" ht="18" customHeight="1" s="170">
      <c r="A33" s="174" t="n"/>
      <c r="B33" s="95" t="inlineStr">
        <is>
          <t>售价</t>
        </is>
      </c>
      <c r="C33" s="92" t="n"/>
      <c r="D33" s="175" t="n">
        <v>28</v>
      </c>
      <c r="E33" s="95" t="inlineStr">
        <is>
          <t>售卖份量/g</t>
        </is>
      </c>
      <c r="F33" s="125">
        <f>SUM(J27:J32)</f>
        <v/>
      </c>
      <c r="G33" s="93" t="inlineStr">
        <is>
          <t>总成本（元）</t>
        </is>
      </c>
      <c r="H33" s="176">
        <f>SUM(K27:K32)</f>
        <v/>
      </c>
      <c r="I33" s="127" t="inlineStr">
        <is>
          <t>毛利/元</t>
        </is>
      </c>
      <c r="J33" s="127">
        <f>D33-H33</f>
        <v/>
      </c>
      <c r="K33" s="127" t="inlineStr">
        <is>
          <t>毛利率</t>
        </is>
      </c>
      <c r="L33" s="145">
        <f>J33/D33</f>
        <v/>
      </c>
    </row>
    <row r="34" hidden="1" ht="15.6" customHeight="1" s="170">
      <c r="A34" s="93" t="inlineStr">
        <is>
          <t>贵州传统软哨</t>
        </is>
      </c>
      <c r="B34" s="92" t="inlineStr">
        <is>
          <t>软哨片</t>
        </is>
      </c>
      <c r="C34" s="92">
        <f>VLOOKUP(B34,原材料价格表!$B$2:$J$242,9,)</f>
        <v/>
      </c>
      <c r="D34" s="92">
        <f>VLOOKUP(B34,原材料价格表!$B$2:$G$436,2,0)</f>
        <v/>
      </c>
      <c r="E34" s="92">
        <f>VLOOKUP(B34,原材料价格表!$B$2:$G$436,3,0)</f>
        <v/>
      </c>
      <c r="F34" s="122" t="n">
        <v>36</v>
      </c>
      <c r="G34" s="92">
        <f>VLOOKUP(B34,原材料价格表!$B$2:$G$436,5,0)</f>
        <v/>
      </c>
      <c r="H34" s="123" t="n">
        <v>1</v>
      </c>
      <c r="I34" s="124">
        <f>F34/G34/H34</f>
        <v/>
      </c>
      <c r="J34" s="92" t="n">
        <v>100</v>
      </c>
      <c r="K34" s="124">
        <f>I34*J34</f>
        <v/>
      </c>
      <c r="L34" s="92" t="n"/>
    </row>
    <row r="35" hidden="1" ht="15.6" customHeight="1" s="170">
      <c r="A35" s="173" t="n"/>
      <c r="B35" s="92" t="inlineStr">
        <is>
          <t>芭蕉叶</t>
        </is>
      </c>
      <c r="C35" s="92">
        <f>VLOOKUP(B35,原材料价格表!$B$2:$J$242,9,)</f>
        <v/>
      </c>
      <c r="D35" s="92">
        <f>VLOOKUP(B35,原材料价格表!$B$2:$G$436,2,0)</f>
        <v/>
      </c>
      <c r="E35" s="92">
        <f>VLOOKUP(B35,原材料价格表!$B$2:$G$436,3,0)</f>
        <v/>
      </c>
      <c r="F35" s="122">
        <f>VLOOKUP(B35,原材料价格表!$B$2:$G$436,6,0)</f>
        <v/>
      </c>
      <c r="G35" s="92">
        <f>VLOOKUP(B35,原材料价格表!$B$2:$G$436,5,0)</f>
        <v/>
      </c>
      <c r="H35" s="123" t="n">
        <v>0.9</v>
      </c>
      <c r="I35" s="124">
        <f>F35/G35/H35</f>
        <v/>
      </c>
      <c r="J35" s="92" t="n">
        <v>5</v>
      </c>
      <c r="K35" s="124">
        <f>I35*J35</f>
        <v/>
      </c>
      <c r="L35" s="92" t="n"/>
    </row>
    <row r="36" hidden="1" ht="18" customHeight="1" s="170">
      <c r="A36" s="174" t="n"/>
      <c r="B36" s="95" t="inlineStr">
        <is>
          <t>售价</t>
        </is>
      </c>
      <c r="C36" s="92" t="n"/>
      <c r="D36" s="175" t="n">
        <v>22</v>
      </c>
      <c r="E36" s="95" t="inlineStr">
        <is>
          <t>售卖份量/g</t>
        </is>
      </c>
      <c r="F36" s="125">
        <f>SUM(J34:J35)</f>
        <v/>
      </c>
      <c r="G36" s="93" t="inlineStr">
        <is>
          <t>总成本（元）</t>
        </is>
      </c>
      <c r="H36" s="176">
        <f>SUM(K34:K35)</f>
        <v/>
      </c>
      <c r="I36" s="127" t="inlineStr">
        <is>
          <t>毛利/元</t>
        </is>
      </c>
      <c r="J36" s="127">
        <f>D36-H36</f>
        <v/>
      </c>
      <c r="K36" s="127" t="inlineStr">
        <is>
          <t>毛利率</t>
        </is>
      </c>
      <c r="L36" s="145">
        <f>J36/D36</f>
        <v/>
      </c>
    </row>
    <row r="37" ht="15.6" customHeight="1" s="170">
      <c r="A37" s="80" t="inlineStr">
        <is>
          <t>水晶滑肉混合物（半成品）</t>
        </is>
      </c>
      <c r="B37" s="82" t="inlineStr">
        <is>
          <t>雪花松板肉</t>
        </is>
      </c>
      <c r="C37" s="82">
        <f>VLOOKUP(B37,原材料价格表!$B$2:$J$242,9,)</f>
        <v/>
      </c>
      <c r="D37" s="82">
        <f>VLOOKUP(B37,原材料价格表!$B$2:$G$436,2,0)</f>
        <v/>
      </c>
      <c r="E37" s="82">
        <f>VLOOKUP(B37,原材料价格表!$B$2:$G$436,3,0)</f>
        <v/>
      </c>
      <c r="F37" s="110">
        <f>VLOOKUP(B37,原材料价格表!$B$2:$G$436,6,0)</f>
        <v/>
      </c>
      <c r="G37" s="82">
        <f>VLOOKUP(B37,原材料价格表!$B$2:$G$436,5,0)</f>
        <v/>
      </c>
      <c r="H37" s="111" t="n">
        <v>1</v>
      </c>
      <c r="I37" s="112">
        <f>F37/G37/H37</f>
        <v/>
      </c>
      <c r="J37" s="82" t="n">
        <v>400</v>
      </c>
      <c r="K37" s="112">
        <f>I37*J37</f>
        <v/>
      </c>
      <c r="L37" s="82" t="n"/>
    </row>
    <row r="38" ht="15.6" customHeight="1" s="170">
      <c r="A38" s="173" t="n"/>
      <c r="B38" s="81" t="inlineStr">
        <is>
          <t>红薯淀粉</t>
        </is>
      </c>
      <c r="C38" s="82">
        <f>VLOOKUP(B38,原材料价格表!$B$2:$J$242,9,)</f>
        <v/>
      </c>
      <c r="D38" s="82">
        <f>VLOOKUP(B38,原材料价格表!$B$2:$G$436,2,0)</f>
        <v/>
      </c>
      <c r="E38" s="82">
        <f>VLOOKUP(B38,原材料价格表!$B$2:$G$436,3,0)</f>
        <v/>
      </c>
      <c r="F38" s="110">
        <f>VLOOKUP(B38,原材料价格表!$B$2:$G$436,6,0)</f>
        <v/>
      </c>
      <c r="G38" s="82">
        <f>VLOOKUP(B38,原材料价格表!$B$2:$G$436,5,0)</f>
        <v/>
      </c>
      <c r="H38" s="111" t="n">
        <v>1</v>
      </c>
      <c r="I38" s="112">
        <f>F38/G38/H38</f>
        <v/>
      </c>
      <c r="J38" s="82" t="n">
        <v>150</v>
      </c>
      <c r="K38" s="112">
        <f>I38*J38</f>
        <v/>
      </c>
      <c r="L38" s="82" t="n"/>
    </row>
    <row r="39" ht="18" customHeight="1" s="170">
      <c r="A39" s="174" t="n"/>
      <c r="B39" s="84" t="inlineStr">
        <is>
          <t>售价</t>
        </is>
      </c>
      <c r="C39" s="82" t="n"/>
      <c r="D39" s="177" t="n"/>
      <c r="E39" s="84" t="inlineStr">
        <is>
          <t>售卖份量/g</t>
        </is>
      </c>
      <c r="F39" s="113" t="n">
        <v>830</v>
      </c>
      <c r="G39" s="83" t="inlineStr">
        <is>
          <t>总成本（元）</t>
        </is>
      </c>
      <c r="H39" s="178">
        <f>SUM(K37:K38)</f>
        <v/>
      </c>
      <c r="I39" s="115" t="inlineStr">
        <is>
          <t>毛利/元</t>
        </is>
      </c>
      <c r="J39" s="115">
        <f>D39-H39</f>
        <v/>
      </c>
      <c r="K39" s="115" t="inlineStr">
        <is>
          <t>毛利率</t>
        </is>
      </c>
      <c r="L39" s="143">
        <f>J39/D39</f>
        <v/>
      </c>
    </row>
    <row r="40" hidden="1" ht="15.6" customHeight="1" s="170">
      <c r="A40" s="91" t="inlineStr">
        <is>
          <t>手工水晶滑肉</t>
        </is>
      </c>
      <c r="B40" s="88" t="inlineStr">
        <is>
          <t>水晶滑肉混合物</t>
        </is>
      </c>
      <c r="C40" s="92">
        <f>VLOOKUP(B40,原材料价格表!$B$2:$J$242,9,)</f>
        <v/>
      </c>
      <c r="D40" s="92">
        <f>VLOOKUP(B40,原材料价格表!$B$2:$G$436,2,0)</f>
        <v/>
      </c>
      <c r="E40" s="92">
        <f>VLOOKUP(B40,原材料价格表!$B$2:$G$436,3,0)</f>
        <v/>
      </c>
      <c r="F40" s="122">
        <f>H39</f>
        <v/>
      </c>
      <c r="G40" s="92">
        <f>F39</f>
        <v/>
      </c>
      <c r="H40" s="123" t="n">
        <v>0.95</v>
      </c>
      <c r="I40" s="124">
        <f>F40/G40/H40</f>
        <v/>
      </c>
      <c r="J40" s="92" t="n">
        <v>200</v>
      </c>
      <c r="K40" s="124">
        <f>I40*J40</f>
        <v/>
      </c>
      <c r="L40" s="92" t="n"/>
    </row>
    <row r="41" hidden="1" ht="15.6" customHeight="1" s="170">
      <c r="A41" s="173" t="n"/>
      <c r="B41" s="94" t="inlineStr">
        <is>
          <t>红叶生菜</t>
        </is>
      </c>
      <c r="C41" s="92">
        <f>VLOOKUP(B41,原材料价格表!$B$2:$J$242,9,)</f>
        <v/>
      </c>
      <c r="D41" s="92">
        <f>VLOOKUP(B41,原材料价格表!$B$2:$G$436,2,0)</f>
        <v/>
      </c>
      <c r="E41" s="92">
        <f>VLOOKUP(B41,原材料价格表!$B$2:$G$436,3,0)</f>
        <v/>
      </c>
      <c r="F41" s="122">
        <f>VLOOKUP(B41,原材料价格表!$B$2:$G$436,6,0)</f>
        <v/>
      </c>
      <c r="G41" s="92">
        <f>VLOOKUP(B41,原材料价格表!$B$2:$G$436,5,0)</f>
        <v/>
      </c>
      <c r="H41" s="123" t="n">
        <v>1</v>
      </c>
      <c r="I41" s="124">
        <f>F41/G41/H41</f>
        <v/>
      </c>
      <c r="J41" s="92" t="n">
        <v>15</v>
      </c>
      <c r="K41" s="124">
        <f>I41*J41</f>
        <v/>
      </c>
      <c r="L41" s="92" t="n"/>
    </row>
    <row r="42" hidden="1" ht="18" customHeight="1" s="170">
      <c r="A42" s="174" t="n"/>
      <c r="B42" s="95" t="inlineStr">
        <is>
          <t>售价</t>
        </is>
      </c>
      <c r="C42" s="92" t="n"/>
      <c r="D42" s="175" t="n">
        <v>22</v>
      </c>
      <c r="E42" s="95" t="inlineStr">
        <is>
          <t>售卖份量/g</t>
        </is>
      </c>
      <c r="F42" s="125">
        <f>SUM(J40:J41)</f>
        <v/>
      </c>
      <c r="G42" s="93" t="inlineStr">
        <is>
          <t>总成本（元）</t>
        </is>
      </c>
      <c r="H42" s="176">
        <f>SUM(K40:K41)</f>
        <v/>
      </c>
      <c r="I42" s="127" t="inlineStr">
        <is>
          <t>毛利/元</t>
        </is>
      </c>
      <c r="J42" s="127">
        <f>D42-H42</f>
        <v/>
      </c>
      <c r="K42" s="127" t="inlineStr">
        <is>
          <t>毛利率</t>
        </is>
      </c>
      <c r="L42" s="145">
        <f>J42/D42</f>
        <v/>
      </c>
    </row>
    <row r="43" hidden="1" ht="15.6" customHeight="1" s="170">
      <c r="A43" s="93" t="inlineStr">
        <is>
          <t>过油响皮</t>
        </is>
      </c>
      <c r="B43" s="92" t="inlineStr">
        <is>
          <t>猪响皮</t>
        </is>
      </c>
      <c r="C43" s="92">
        <f>VLOOKUP(B43,原材料价格表!$B$2:$J$242,9,)</f>
        <v/>
      </c>
      <c r="D43" s="92">
        <f>VLOOKUP(B43,原材料价格表!$B$2:$G$436,2,0)</f>
        <v/>
      </c>
      <c r="E43" s="92">
        <f>VLOOKUP(B43,原材料价格表!$B$2:$G$436,3,0)</f>
        <v/>
      </c>
      <c r="F43" s="122">
        <f>VLOOKUP(B43,原材料价格表!$B$2:$G$436,6,0)</f>
        <v/>
      </c>
      <c r="G43" s="92">
        <f>VLOOKUP(B43,原材料价格表!$B$2:$G$436,5,0)</f>
        <v/>
      </c>
      <c r="H43" s="123" t="n">
        <v>0.95</v>
      </c>
      <c r="I43" s="124">
        <f>F43/G43/H43</f>
        <v/>
      </c>
      <c r="J43" s="92" t="n">
        <v>50</v>
      </c>
      <c r="K43" s="124">
        <f>I43*J43</f>
        <v/>
      </c>
      <c r="L43" s="92" t="n"/>
    </row>
    <row r="44" hidden="1" ht="18" customHeight="1" s="170">
      <c r="A44" s="174" t="n"/>
      <c r="B44" s="95" t="inlineStr">
        <is>
          <t>售价</t>
        </is>
      </c>
      <c r="C44" s="92" t="n"/>
      <c r="D44" s="175" t="n">
        <v>18</v>
      </c>
      <c r="E44" s="95" t="inlineStr">
        <is>
          <t>售卖份量/g</t>
        </is>
      </c>
      <c r="F44" s="125">
        <f>SUM(J43)</f>
        <v/>
      </c>
      <c r="G44" s="93" t="inlineStr">
        <is>
          <t>总成本（元）</t>
        </is>
      </c>
      <c r="H44" s="176">
        <f>SUM(K43)</f>
        <v/>
      </c>
      <c r="I44" s="127" t="inlineStr">
        <is>
          <t>毛利/元</t>
        </is>
      </c>
      <c r="J44" s="127">
        <f>D44-H44</f>
        <v/>
      </c>
      <c r="K44" s="127" t="inlineStr">
        <is>
          <t>毛利率</t>
        </is>
      </c>
      <c r="L44" s="145">
        <f>J44/D44</f>
        <v/>
      </c>
    </row>
    <row r="45" hidden="1" ht="15.6" customHeight="1" s="170">
      <c r="A45" s="93" t="inlineStr">
        <is>
          <t>糯米午餐肉</t>
        </is>
      </c>
      <c r="B45" s="92" t="inlineStr">
        <is>
          <t>糯米午餐肉</t>
        </is>
      </c>
      <c r="C45" s="92">
        <f>VLOOKUP(B45,原材料价格表!$B$2:$J$242,9,)</f>
        <v/>
      </c>
      <c r="D45" s="92">
        <f>VLOOKUP(B45,原材料价格表!$B$2:$G$436,2,0)</f>
        <v/>
      </c>
      <c r="E45" s="92">
        <f>VLOOKUP(B45,原材料价格表!$B$2:$G$436,3,0)</f>
        <v/>
      </c>
      <c r="F45" s="122">
        <f>VLOOKUP(B45,原材料价格表!$B$2:$G$436,6,0)</f>
        <v/>
      </c>
      <c r="G45" s="92">
        <f>VLOOKUP(B45,原材料价格表!$B$2:$G$436,5,0)</f>
        <v/>
      </c>
      <c r="H45" s="123" t="n">
        <v>1</v>
      </c>
      <c r="I45" s="124">
        <f>F45/G45/H45</f>
        <v/>
      </c>
      <c r="J45" s="92" t="n">
        <v>170</v>
      </c>
      <c r="K45" s="124">
        <f>I45*J45</f>
        <v/>
      </c>
      <c r="L45" s="92" t="n"/>
    </row>
    <row r="46" hidden="1" ht="18" customHeight="1" s="170">
      <c r="A46" s="174" t="n"/>
      <c r="B46" s="95" t="inlineStr">
        <is>
          <t>售价</t>
        </is>
      </c>
      <c r="C46" s="92" t="n"/>
      <c r="D46" s="175" t="n">
        <v>18</v>
      </c>
      <c r="E46" s="95" t="inlineStr">
        <is>
          <t>售卖份量/g</t>
        </is>
      </c>
      <c r="F46" s="125">
        <f>SUM(J45)</f>
        <v/>
      </c>
      <c r="G46" s="93" t="inlineStr">
        <is>
          <t>总成本（元）</t>
        </is>
      </c>
      <c r="H46" s="176">
        <f>SUM(K45)</f>
        <v/>
      </c>
      <c r="I46" s="127" t="inlineStr">
        <is>
          <t>毛利/元</t>
        </is>
      </c>
      <c r="J46" s="127">
        <f>D46-H46</f>
        <v/>
      </c>
      <c r="K46" s="127" t="inlineStr">
        <is>
          <t>毛利率</t>
        </is>
      </c>
      <c r="L46" s="145">
        <f>J46/D46</f>
        <v/>
      </c>
    </row>
    <row r="47" hidden="1" ht="15.6" customHeight="1" s="170">
      <c r="A47" s="91" t="inlineStr">
        <is>
          <t>净水鲜虾</t>
        </is>
      </c>
      <c r="B47" s="92" t="inlineStr">
        <is>
          <t>基围虾</t>
        </is>
      </c>
      <c r="C47" s="92">
        <f>VLOOKUP(B47,原材料价格表!$B$2:$J$242,9,)</f>
        <v/>
      </c>
      <c r="D47" s="92">
        <f>VLOOKUP(B47,原材料价格表!$B$2:$G$436,2,0)</f>
        <v/>
      </c>
      <c r="E47" s="92">
        <f>VLOOKUP(B47,原材料价格表!$B$2:$G$436,3,0)</f>
        <v/>
      </c>
      <c r="F47" s="122">
        <f>VLOOKUP(B47,原材料价格表!$B$2:$G$436,6,0)</f>
        <v/>
      </c>
      <c r="G47" s="92">
        <f>VLOOKUP(B47,原材料价格表!$B$2:$G$436,5,0)</f>
        <v/>
      </c>
      <c r="H47" s="123" t="n">
        <v>1</v>
      </c>
      <c r="I47" s="124">
        <f>F47/G47/H47</f>
        <v/>
      </c>
      <c r="J47" s="92" t="n">
        <v>8</v>
      </c>
      <c r="K47" s="124">
        <f>I47*J47</f>
        <v/>
      </c>
      <c r="L47" s="92" t="n"/>
    </row>
    <row r="48" hidden="1" ht="18" customHeight="1" s="170">
      <c r="A48" s="174" t="n"/>
      <c r="B48" s="95" t="inlineStr">
        <is>
          <t>售价</t>
        </is>
      </c>
      <c r="C48" s="92" t="n"/>
      <c r="D48" s="175" t="n">
        <v>38</v>
      </c>
      <c r="E48" s="95" t="inlineStr">
        <is>
          <t>售卖份量/g</t>
        </is>
      </c>
      <c r="F48" s="125">
        <f>SUM(J47)</f>
        <v/>
      </c>
      <c r="G48" s="93" t="inlineStr">
        <is>
          <t>总成本（元）</t>
        </is>
      </c>
      <c r="H48" s="176">
        <f>SUM(K47)</f>
        <v/>
      </c>
      <c r="I48" s="127" t="inlineStr">
        <is>
          <t>毛利/元</t>
        </is>
      </c>
      <c r="J48" s="127">
        <f>D48-H48</f>
        <v/>
      </c>
      <c r="K48" s="127" t="inlineStr">
        <is>
          <t>毛利率</t>
        </is>
      </c>
      <c r="L48" s="145">
        <f>J48/D48</f>
        <v/>
      </c>
    </row>
    <row r="49" hidden="1" ht="15.6" customHeight="1" s="170">
      <c r="A49" s="93" t="inlineStr">
        <is>
          <t>乌鱼片</t>
        </is>
      </c>
      <c r="B49" s="92" t="inlineStr">
        <is>
          <t>乌鱼片</t>
        </is>
      </c>
      <c r="C49" s="92">
        <f>VLOOKUP(B49,原材料价格表!$B$2:$J$242,9,)</f>
        <v/>
      </c>
      <c r="D49" s="92">
        <f>VLOOKUP(B49,原材料价格表!$B$2:$G$436,2,0)</f>
        <v/>
      </c>
      <c r="E49" s="92">
        <f>VLOOKUP(B49,原材料价格表!$B$2:$G$436,3,0)</f>
        <v/>
      </c>
      <c r="F49" s="122">
        <f>VLOOKUP(B49,原材料价格表!$B$2:$G$436,6,0)</f>
        <v/>
      </c>
      <c r="G49" s="92">
        <f>VLOOKUP(B49,原材料价格表!$B$2:$G$436,5,0)</f>
        <v/>
      </c>
      <c r="H49" s="123" t="n">
        <v>0.95</v>
      </c>
      <c r="I49" s="124">
        <f>F49/G49/H49</f>
        <v/>
      </c>
      <c r="J49" s="92" t="n">
        <v>130</v>
      </c>
      <c r="K49" s="124">
        <f>I49*J49</f>
        <v/>
      </c>
      <c r="L49" s="92" t="n"/>
    </row>
    <row r="50" hidden="1" ht="15.6" customHeight="1" s="170">
      <c r="A50" s="173" t="n"/>
      <c r="B50" s="92" t="inlineStr">
        <is>
          <t>甜菊</t>
        </is>
      </c>
      <c r="C50" s="92">
        <f>VLOOKUP(B50,原材料价格表!$B$2:$J$242,9,)</f>
        <v/>
      </c>
      <c r="D50" s="92">
        <f>VLOOKUP(B50,原材料价格表!$B$2:$G$436,2,0)</f>
        <v/>
      </c>
      <c r="E50" s="92">
        <f>VLOOKUP(B50,原材料价格表!$B$2:$G$436,3,0)</f>
        <v/>
      </c>
      <c r="F50" s="122">
        <f>VLOOKUP(B50,原材料价格表!$B$2:$G$436,6,0)</f>
        <v/>
      </c>
      <c r="G50" s="92">
        <f>VLOOKUP(B50,原材料价格表!$B$2:$G$436,5,0)</f>
        <v/>
      </c>
      <c r="H50" s="123" t="n">
        <v>0.3</v>
      </c>
      <c r="I50" s="124">
        <f>F50/G50/H50</f>
        <v/>
      </c>
      <c r="J50" s="92" t="n">
        <v>1.5</v>
      </c>
      <c r="K50" s="124">
        <f>I50*J50</f>
        <v/>
      </c>
      <c r="L50" s="92" t="n"/>
    </row>
    <row r="51" hidden="1" ht="18" customHeight="1" s="170">
      <c r="A51" s="174" t="n"/>
      <c r="B51" s="95" t="inlineStr">
        <is>
          <t>售价</t>
        </is>
      </c>
      <c r="C51" s="92" t="n"/>
      <c r="D51" s="175" t="n">
        <v>28</v>
      </c>
      <c r="E51" s="95" t="inlineStr">
        <is>
          <t>售卖份量/g</t>
        </is>
      </c>
      <c r="F51" s="125">
        <f>SUM(J49:J50)</f>
        <v/>
      </c>
      <c r="G51" s="93" t="inlineStr">
        <is>
          <t>总成本（元）</t>
        </is>
      </c>
      <c r="H51" s="176">
        <f>SUM(K49:K50)</f>
        <v/>
      </c>
      <c r="I51" s="127" t="inlineStr">
        <is>
          <t>毛利/元</t>
        </is>
      </c>
      <c r="J51" s="127">
        <f>D51-H51</f>
        <v/>
      </c>
      <c r="K51" s="127" t="inlineStr">
        <is>
          <t>毛利率</t>
        </is>
      </c>
      <c r="L51" s="145">
        <f>J51/D51</f>
        <v/>
      </c>
    </row>
    <row r="52" hidden="1" ht="15.6" customHeight="1" s="170">
      <c r="A52" s="93" t="inlineStr">
        <is>
          <t>海鲜拼盘</t>
        </is>
      </c>
      <c r="B52" s="92" t="inlineStr">
        <is>
          <t>小管</t>
        </is>
      </c>
      <c r="C52" s="92">
        <f>VLOOKUP(B52,原材料价格表!$B$2:$J$242,9,)</f>
        <v/>
      </c>
      <c r="D52" s="92">
        <f>VLOOKUP(B52,原材料价格表!$B$2:$G$436,2,0)</f>
        <v/>
      </c>
      <c r="E52" s="92">
        <f>VLOOKUP(B52,原材料价格表!$B$2:$G$436,3,0)</f>
        <v/>
      </c>
      <c r="F52" s="122">
        <f>VLOOKUP(B52,原材料价格表!$B$2:$G$436,6,0)</f>
        <v/>
      </c>
      <c r="G52" s="92">
        <f>VLOOKUP(B52,原材料价格表!$B$2:$G$436,5,0)</f>
        <v/>
      </c>
      <c r="H52" s="123" t="n">
        <v>1</v>
      </c>
      <c r="I52" s="124">
        <f>F52/G52/H52</f>
        <v/>
      </c>
      <c r="J52" s="92" t="n">
        <v>1</v>
      </c>
      <c r="K52" s="124">
        <f>I52*J52</f>
        <v/>
      </c>
      <c r="L52" s="92" t="n"/>
    </row>
    <row r="53" hidden="1" ht="15.6" customHeight="1" s="170">
      <c r="A53" s="173" t="n"/>
      <c r="B53" s="92" t="inlineStr">
        <is>
          <t>10头鲍</t>
        </is>
      </c>
      <c r="C53" s="92">
        <f>VLOOKUP(B53,原材料价格表!$B$2:$J$242,9,)</f>
        <v/>
      </c>
      <c r="D53" s="92">
        <f>VLOOKUP(B53,原材料价格表!$B$2:$G$436,2,0)</f>
        <v/>
      </c>
      <c r="E53" s="92">
        <f>VLOOKUP(B53,原材料价格表!$B$2:$G$436,3,0)</f>
        <v/>
      </c>
      <c r="F53" s="122">
        <f>VLOOKUP(B53,原材料价格表!$B$2:$G$436,6,0)</f>
        <v/>
      </c>
      <c r="G53" s="92">
        <f>VLOOKUP(B53,原材料价格表!$B$2:$G$436,5,0)</f>
        <v/>
      </c>
      <c r="H53" s="123" t="n">
        <v>1</v>
      </c>
      <c r="I53" s="124">
        <f>F53/G53/H53</f>
        <v/>
      </c>
      <c r="J53" s="92" t="n">
        <v>3</v>
      </c>
      <c r="K53" s="124">
        <f>I53*J53</f>
        <v/>
      </c>
      <c r="L53" s="92" t="n"/>
    </row>
    <row r="54" hidden="1" ht="20" customHeight="1" s="170">
      <c r="A54" s="173" t="n"/>
      <c r="B54" s="92" t="inlineStr">
        <is>
          <t>生蚝</t>
        </is>
      </c>
      <c r="C54" s="92">
        <f>VLOOKUP(B54,原材料价格表!$B$2:$J$242,9,)</f>
        <v/>
      </c>
      <c r="D54" s="92">
        <f>VLOOKUP(B54,原材料价格表!$B$2:$G$436,2,0)</f>
        <v/>
      </c>
      <c r="E54" s="92">
        <f>VLOOKUP(B54,原材料价格表!$B$2:$G$436,3,0)</f>
        <v/>
      </c>
      <c r="F54" s="122">
        <f>VLOOKUP(B54,原材料价格表!$B$2:$G$436,6,0)</f>
        <v/>
      </c>
      <c r="G54" s="92">
        <f>VLOOKUP(B54,原材料价格表!$B$2:$G$436,5,0)</f>
        <v/>
      </c>
      <c r="H54" s="123" t="n">
        <v>1</v>
      </c>
      <c r="I54" s="124">
        <f>F54/G54/H54</f>
        <v/>
      </c>
      <c r="J54" s="92" t="n">
        <v>2</v>
      </c>
      <c r="K54" s="124">
        <f>I54*J54</f>
        <v/>
      </c>
      <c r="L54" s="92" t="n"/>
    </row>
    <row r="55" hidden="1" ht="15.6" customHeight="1" s="170">
      <c r="A55" s="173" t="n"/>
      <c r="B55" s="92" t="inlineStr">
        <is>
          <t>基围虾</t>
        </is>
      </c>
      <c r="C55" s="92">
        <f>VLOOKUP(B55,原材料价格表!$B$2:$J$242,9,)</f>
        <v/>
      </c>
      <c r="D55" s="92">
        <f>VLOOKUP(B55,原材料价格表!$B$2:$G$436,2,0)</f>
        <v/>
      </c>
      <c r="E55" s="92">
        <f>VLOOKUP(B55,原材料价格表!$B$2:$G$436,3,0)</f>
        <v/>
      </c>
      <c r="F55" s="122">
        <f>VLOOKUP(B55,原材料价格表!$B$2:$G$436,6,0)</f>
        <v/>
      </c>
      <c r="G55" s="92">
        <f>VLOOKUP(B55,原材料价格表!$B$2:$G$436,5,0)</f>
        <v/>
      </c>
      <c r="H55" s="123" t="n">
        <v>1</v>
      </c>
      <c r="I55" s="124">
        <f>F55/G55/H55</f>
        <v/>
      </c>
      <c r="J55" s="92" t="n">
        <v>4</v>
      </c>
      <c r="K55" s="124">
        <f>I55*J55</f>
        <v/>
      </c>
      <c r="L55" s="92" t="n"/>
    </row>
    <row r="56" hidden="1" ht="15.6" customHeight="1" s="170">
      <c r="A56" s="173" t="n"/>
      <c r="B56" s="92" t="inlineStr">
        <is>
          <t>紫苏叶</t>
        </is>
      </c>
      <c r="C56" s="92">
        <f>VLOOKUP(B56,原材料价格表!$B$2:$J$242,9,)</f>
        <v/>
      </c>
      <c r="D56" s="92">
        <f>VLOOKUP(B56,原材料价格表!$B$2:$G$436,2,0)</f>
        <v/>
      </c>
      <c r="E56" s="92">
        <f>VLOOKUP(B56,原材料价格表!$B$2:$G$436,3,0)</f>
        <v/>
      </c>
      <c r="F56" s="122">
        <f>VLOOKUP(B56,原材料价格表!$B$2:$G$436,6,0)</f>
        <v/>
      </c>
      <c r="G56" s="92">
        <f>VLOOKUP(B56,原材料价格表!$B$2:$G$436,5,0)</f>
        <v/>
      </c>
      <c r="H56" s="123" t="n">
        <v>1</v>
      </c>
      <c r="I56" s="124">
        <f>F56/G56/H56</f>
        <v/>
      </c>
      <c r="J56" s="92" t="n">
        <v>2</v>
      </c>
      <c r="K56" s="124">
        <f>I56*J56</f>
        <v/>
      </c>
      <c r="L56" s="92" t="n"/>
    </row>
    <row r="57" hidden="1" ht="18" customHeight="1" s="170">
      <c r="A57" s="174" t="n"/>
      <c r="B57" s="95" t="inlineStr">
        <is>
          <t>售价</t>
        </is>
      </c>
      <c r="C57" s="92" t="n"/>
      <c r="D57" s="175" t="n">
        <v>68</v>
      </c>
      <c r="E57" s="95" t="inlineStr">
        <is>
          <t>售卖份量/g</t>
        </is>
      </c>
      <c r="F57" s="125">
        <f>SUM(J52:J56)</f>
        <v/>
      </c>
      <c r="G57" s="93" t="inlineStr">
        <is>
          <t>总成本（元）</t>
        </is>
      </c>
      <c r="H57" s="176">
        <f>SUM(K52:K56)</f>
        <v/>
      </c>
      <c r="I57" s="127" t="inlineStr">
        <is>
          <t>毛利/元</t>
        </is>
      </c>
      <c r="J57" s="127">
        <f>D57-H57</f>
        <v/>
      </c>
      <c r="K57" s="127" t="inlineStr">
        <is>
          <t>毛利率</t>
        </is>
      </c>
      <c r="L57" s="145">
        <f>J57/D57</f>
        <v/>
      </c>
    </row>
    <row r="58" hidden="1" ht="15.6" customHeight="1" s="170">
      <c r="A58" s="93" t="inlineStr">
        <is>
          <t>黑金虾滑</t>
        </is>
      </c>
      <c r="B58" s="92" t="inlineStr">
        <is>
          <t>虾滑</t>
        </is>
      </c>
      <c r="C58" s="92">
        <f>VLOOKUP(B58,原材料价格表!$B$2:$J$242,9,)</f>
        <v/>
      </c>
      <c r="D58" s="92">
        <f>VLOOKUP(B58,原材料价格表!$B$2:$G$436,2,0)</f>
        <v/>
      </c>
      <c r="E58" s="92">
        <f>VLOOKUP(B58,原材料价格表!$B$2:$G$436,3,0)</f>
        <v/>
      </c>
      <c r="F58" s="122">
        <f>VLOOKUP(B58,原材料价格表!$B$2:$G$436,6,0)</f>
        <v/>
      </c>
      <c r="G58" s="92">
        <f>VLOOKUP(B58,原材料价格表!$B$2:$G$436,5,0)</f>
        <v/>
      </c>
      <c r="H58" s="123" t="n">
        <v>1</v>
      </c>
      <c r="I58" s="124">
        <f>F58/G58/H58</f>
        <v/>
      </c>
      <c r="J58" s="92" t="n">
        <v>150</v>
      </c>
      <c r="K58" s="124">
        <f>I58*J58</f>
        <v/>
      </c>
      <c r="L58" s="92" t="n"/>
    </row>
    <row r="59" hidden="1" ht="15.6" customHeight="1" s="170">
      <c r="A59" s="173" t="n"/>
      <c r="B59" s="92" t="inlineStr">
        <is>
          <t>墨鱼汁</t>
        </is>
      </c>
      <c r="C59" s="92">
        <f>VLOOKUP(B59,原材料价格表!$B$2:$J$242,9,)</f>
        <v/>
      </c>
      <c r="D59" s="92">
        <f>VLOOKUP(B59,原材料价格表!$B$2:$G$436,2,0)</f>
        <v/>
      </c>
      <c r="E59" s="92">
        <f>VLOOKUP(B59,原材料价格表!$B$2:$G$436,3,0)</f>
        <v/>
      </c>
      <c r="F59" s="122">
        <f>VLOOKUP(B59,原材料价格表!$B$2:$G$436,6,0)</f>
        <v/>
      </c>
      <c r="G59" s="92">
        <f>VLOOKUP(B59,原材料价格表!$B$2:$G$436,5,0)</f>
        <v/>
      </c>
      <c r="H59" s="123" t="n">
        <v>1</v>
      </c>
      <c r="I59" s="124">
        <f>F59/G59/H59</f>
        <v/>
      </c>
      <c r="J59" s="92" t="n">
        <v>1</v>
      </c>
      <c r="K59" s="124">
        <f>I59*J59</f>
        <v/>
      </c>
      <c r="L59" s="92" t="n"/>
    </row>
    <row r="60" hidden="1" ht="15.6" customHeight="1" s="170">
      <c r="A60" s="173" t="n"/>
      <c r="B60" s="92" t="inlineStr">
        <is>
          <t>金蒜酥</t>
        </is>
      </c>
      <c r="C60" s="92">
        <f>VLOOKUP(B60,原材料价格表!$B$2:$J$242,9,)</f>
        <v/>
      </c>
      <c r="D60" s="92">
        <f>VLOOKUP(B60,原材料价格表!$B$2:$G$436,2,0)</f>
        <v/>
      </c>
      <c r="E60" s="92">
        <f>VLOOKUP(B60,原材料价格表!$B$2:$G$436,3,0)</f>
        <v/>
      </c>
      <c r="F60" s="122">
        <f>VLOOKUP(B60,原材料价格表!$B$2:$G$436,6,0)</f>
        <v/>
      </c>
      <c r="G60" s="92">
        <f>VLOOKUP(B60,原材料价格表!$B$2:$G$436,5,0)</f>
        <v/>
      </c>
      <c r="H60" s="123" t="n">
        <v>2</v>
      </c>
      <c r="I60" s="124">
        <f>F60/G60/H60</f>
        <v/>
      </c>
      <c r="J60" s="92" t="n">
        <v>1</v>
      </c>
      <c r="K60" s="124">
        <f>I60*J60</f>
        <v/>
      </c>
      <c r="L60" s="92" t="n"/>
    </row>
    <row r="61" hidden="1" ht="15.6" customHeight="1" s="170">
      <c r="A61" s="173" t="n"/>
      <c r="B61" s="92" t="inlineStr">
        <is>
          <t>芭蕉叶</t>
        </is>
      </c>
      <c r="C61" s="92">
        <f>VLOOKUP(B61,原材料价格表!$B$2:$J$242,9,)</f>
        <v/>
      </c>
      <c r="D61" s="92">
        <f>VLOOKUP(B61,原材料价格表!$B$2:$G$436,2,0)</f>
        <v/>
      </c>
      <c r="E61" s="92">
        <f>VLOOKUP(B61,原材料价格表!$B$2:$G$436,3,0)</f>
        <v/>
      </c>
      <c r="F61" s="122">
        <f>VLOOKUP(B61,原材料价格表!$B$2:$G$436,6,0)</f>
        <v/>
      </c>
      <c r="G61" s="92">
        <f>VLOOKUP(B61,原材料价格表!$B$2:$G$436,5,0)</f>
        <v/>
      </c>
      <c r="H61" s="123" t="n">
        <v>0.9</v>
      </c>
      <c r="I61" s="124">
        <f>F61/G61/H61</f>
        <v/>
      </c>
      <c r="J61" s="92" t="n">
        <v>5</v>
      </c>
      <c r="K61" s="124">
        <f>I61*J61</f>
        <v/>
      </c>
      <c r="L61" s="92" t="n"/>
    </row>
    <row r="62" hidden="1" ht="18" customHeight="1" s="170">
      <c r="A62" s="174" t="n"/>
      <c r="B62" s="95" t="inlineStr">
        <is>
          <t>售价</t>
        </is>
      </c>
      <c r="C62" s="92" t="n"/>
      <c r="D62" s="175" t="n">
        <v>38</v>
      </c>
      <c r="E62" s="95" t="inlineStr">
        <is>
          <t>售卖份量/g</t>
        </is>
      </c>
      <c r="F62" s="125">
        <f>SUM(J58:J61)</f>
        <v/>
      </c>
      <c r="G62" s="93" t="inlineStr">
        <is>
          <t>总成本（元）</t>
        </is>
      </c>
      <c r="H62" s="176">
        <f>SUM(K58:K61)</f>
        <v/>
      </c>
      <c r="I62" s="127" t="inlineStr">
        <is>
          <t>毛利/元</t>
        </is>
      </c>
      <c r="J62" s="127">
        <f>D62-H62</f>
        <v/>
      </c>
      <c r="K62" s="127" t="inlineStr">
        <is>
          <t>毛利率</t>
        </is>
      </c>
      <c r="L62" s="145">
        <f>J62/D62</f>
        <v/>
      </c>
    </row>
    <row r="63" hidden="1" ht="15.6" customHeight="1" s="170">
      <c r="A63" s="93" t="inlineStr">
        <is>
          <t>鲜板栗</t>
        </is>
      </c>
      <c r="B63" s="92" t="inlineStr">
        <is>
          <t>鲜板栗</t>
        </is>
      </c>
      <c r="C63" s="92">
        <f>VLOOKUP(B63,原材料价格表!$B$2:$J$242,9,)</f>
        <v/>
      </c>
      <c r="D63" s="92">
        <f>VLOOKUP(B63,原材料价格表!$B$2:$G$436,2,0)</f>
        <v/>
      </c>
      <c r="E63" s="92">
        <f>VLOOKUP(B63,原材料价格表!$B$2:$G$436,3,0)</f>
        <v/>
      </c>
      <c r="F63" s="122">
        <f>VLOOKUP(B63,原材料价格表!$B$2:$G$436,6,0)</f>
        <v/>
      </c>
      <c r="G63" s="92">
        <f>VLOOKUP(B63,原材料价格表!$B$2:$G$436,5,0)</f>
        <v/>
      </c>
      <c r="H63" s="123" t="n">
        <v>1</v>
      </c>
      <c r="I63" s="124">
        <f>F63/G63/H63</f>
        <v/>
      </c>
      <c r="J63" s="92" t="n">
        <v>130</v>
      </c>
      <c r="K63" s="124">
        <f>I63*J63</f>
        <v/>
      </c>
      <c r="L63" s="92" t="n"/>
    </row>
    <row r="64" hidden="1" ht="15.6" customHeight="1" s="170">
      <c r="A64" s="173" t="n"/>
      <c r="B64" s="92" t="inlineStr">
        <is>
          <t>羽衣甘蓝</t>
        </is>
      </c>
      <c r="C64" s="92">
        <f>VLOOKUP(B64,原材料价格表!$B$2:$J$242,9,)</f>
        <v/>
      </c>
      <c r="D64" s="92">
        <f>VLOOKUP(B64,原材料价格表!$B$2:$G$436,2,0)</f>
        <v/>
      </c>
      <c r="E64" s="92">
        <f>VLOOKUP(B64,原材料价格表!$B$2:$G$436,3,0)</f>
        <v/>
      </c>
      <c r="F64" s="122">
        <f>VLOOKUP(B64,原材料价格表!$B$2:$G$436,6,0)</f>
        <v/>
      </c>
      <c r="G64" s="92">
        <f>VLOOKUP(B64,原材料价格表!$B$2:$G$436,5,0)</f>
        <v/>
      </c>
      <c r="H64" s="123" t="n">
        <v>1</v>
      </c>
      <c r="I64" s="124">
        <f>F64/G64/H64</f>
        <v/>
      </c>
      <c r="J64" s="92" t="n">
        <v>15</v>
      </c>
      <c r="K64" s="124">
        <f>I64*J64</f>
        <v/>
      </c>
      <c r="L64" s="92" t="n"/>
    </row>
    <row r="65" hidden="1" ht="18" customHeight="1" s="170">
      <c r="A65" s="174" t="n"/>
      <c r="B65" s="95" t="inlineStr">
        <is>
          <t>售价</t>
        </is>
      </c>
      <c r="C65" s="92" t="n"/>
      <c r="D65" s="175" t="n">
        <v>16</v>
      </c>
      <c r="E65" s="95" t="inlineStr">
        <is>
          <t>售卖份量/g</t>
        </is>
      </c>
      <c r="F65" s="125">
        <f>SUM(J63:J64)</f>
        <v/>
      </c>
      <c r="G65" s="93" t="inlineStr">
        <is>
          <t>总成本（元）</t>
        </is>
      </c>
      <c r="H65" s="176">
        <f>SUM(K63:K64)</f>
        <v/>
      </c>
      <c r="I65" s="127" t="inlineStr">
        <is>
          <t>毛利/元</t>
        </is>
      </c>
      <c r="J65" s="127">
        <f>D65-H65</f>
        <v/>
      </c>
      <c r="K65" s="127" t="inlineStr">
        <is>
          <t>毛利率</t>
        </is>
      </c>
      <c r="L65" s="145">
        <f>J65/D65</f>
        <v/>
      </c>
    </row>
    <row r="66" hidden="1" ht="15.6" customHeight="1" s="170">
      <c r="A66" s="93" t="inlineStr">
        <is>
          <t>鲜百合</t>
        </is>
      </c>
      <c r="B66" s="92" t="inlineStr">
        <is>
          <t>鲜百合</t>
        </is>
      </c>
      <c r="C66" s="92">
        <f>VLOOKUP(B66,原材料价格表!$B$2:$J$242,9,)</f>
        <v/>
      </c>
      <c r="D66" s="92">
        <f>VLOOKUP(B66,原材料价格表!$B$2:$G$436,2,0)</f>
        <v/>
      </c>
      <c r="E66" s="92">
        <f>VLOOKUP(B66,原材料价格表!$B$2:$G$436,3,0)</f>
        <v/>
      </c>
      <c r="F66" s="122">
        <f>VLOOKUP(B66,原材料价格表!$B$2:$G$436,6,0)</f>
        <v/>
      </c>
      <c r="G66" s="92">
        <f>VLOOKUP(B66,原材料价格表!$B$2:$G$436,5,0)</f>
        <v/>
      </c>
      <c r="H66" s="123" t="n">
        <v>0.9</v>
      </c>
      <c r="I66" s="124">
        <f>F66/G66/H66</f>
        <v/>
      </c>
      <c r="J66" s="92" t="n">
        <v>50</v>
      </c>
      <c r="K66" s="124">
        <f>I66*J66</f>
        <v/>
      </c>
      <c r="L66" s="92" t="n"/>
    </row>
    <row r="67" hidden="1" ht="18" customHeight="1" s="170">
      <c r="A67" s="174" t="n"/>
      <c r="B67" s="95" t="inlineStr">
        <is>
          <t>售价</t>
        </is>
      </c>
      <c r="C67" s="92" t="n"/>
      <c r="D67" s="175" t="n">
        <v>22</v>
      </c>
      <c r="E67" s="95" t="inlineStr">
        <is>
          <t>售卖份量/g</t>
        </is>
      </c>
      <c r="F67" s="125">
        <f>SUM(J66)</f>
        <v/>
      </c>
      <c r="G67" s="93" t="inlineStr">
        <is>
          <t>总成本（元）</t>
        </is>
      </c>
      <c r="H67" s="176">
        <f>SUM(K66)</f>
        <v/>
      </c>
      <c r="I67" s="127" t="inlineStr">
        <is>
          <t>毛利/元</t>
        </is>
      </c>
      <c r="J67" s="127">
        <f>D67-H67</f>
        <v/>
      </c>
      <c r="K67" s="127" t="inlineStr">
        <is>
          <t>毛利率</t>
        </is>
      </c>
      <c r="L67" s="145">
        <f>J67/D67</f>
        <v/>
      </c>
    </row>
    <row r="68" hidden="1" ht="15.6" customHeight="1" s="170">
      <c r="A68" s="93" t="inlineStr">
        <is>
          <t>血皮菜</t>
        </is>
      </c>
      <c r="B68" s="92" t="inlineStr">
        <is>
          <t>血皮菜</t>
        </is>
      </c>
      <c r="C68" s="92">
        <f>VLOOKUP(B68,原材料价格表!$B$2:$J$242,9,)</f>
        <v/>
      </c>
      <c r="D68" s="92">
        <f>VLOOKUP(B68,原材料价格表!$B$2:$G$436,2,0)</f>
        <v/>
      </c>
      <c r="E68" s="92">
        <f>VLOOKUP(B68,原材料价格表!$B$2:$G$436,3,0)</f>
        <v/>
      </c>
      <c r="F68" s="122">
        <f>VLOOKUP(B68,原材料价格表!$B$2:$G$436,6,0)</f>
        <v/>
      </c>
      <c r="G68" s="92">
        <f>VLOOKUP(B68,原材料价格表!$B$2:$G$436,5,0)</f>
        <v/>
      </c>
      <c r="H68" s="123" t="n">
        <v>0.9</v>
      </c>
      <c r="I68" s="124">
        <f>F68/G68/H68</f>
        <v/>
      </c>
      <c r="J68" s="92" t="n">
        <v>130</v>
      </c>
      <c r="K68" s="124">
        <f>I68*J68</f>
        <v/>
      </c>
      <c r="L68" s="92" t="n"/>
    </row>
    <row r="69" hidden="1" ht="18" customHeight="1" s="170">
      <c r="A69" s="174" t="n"/>
      <c r="B69" s="95" t="inlineStr">
        <is>
          <t>售价</t>
        </is>
      </c>
      <c r="C69" s="92" t="n"/>
      <c r="D69" s="175" t="n">
        <v>16</v>
      </c>
      <c r="E69" s="95" t="inlineStr">
        <is>
          <t>售卖份量/g</t>
        </is>
      </c>
      <c r="F69" s="125">
        <f>SUM(J68)</f>
        <v/>
      </c>
      <c r="G69" s="93" t="inlineStr">
        <is>
          <t>总成本（元）</t>
        </is>
      </c>
      <c r="H69" s="176">
        <f>SUM(K68)</f>
        <v/>
      </c>
      <c r="I69" s="127" t="inlineStr">
        <is>
          <t>毛利/元</t>
        </is>
      </c>
      <c r="J69" s="127">
        <f>D69-H69</f>
        <v/>
      </c>
      <c r="K69" s="127" t="inlineStr">
        <is>
          <t>毛利率</t>
        </is>
      </c>
      <c r="L69" s="145">
        <f>J69/D69</f>
        <v/>
      </c>
    </row>
    <row r="70" hidden="1" ht="15.6" customHeight="1" s="170">
      <c r="A70" s="93" t="inlineStr">
        <is>
          <t>鲜黄花</t>
        </is>
      </c>
      <c r="B70" s="92" t="inlineStr">
        <is>
          <t>鲜黄花</t>
        </is>
      </c>
      <c r="C70" s="92">
        <f>VLOOKUP(B70,原材料价格表!$B$2:$J$242,9,)</f>
        <v/>
      </c>
      <c r="D70" s="92">
        <f>VLOOKUP(B70,原材料价格表!$B$2:$G$436,2,0)</f>
        <v/>
      </c>
      <c r="E70" s="92">
        <f>VLOOKUP(B70,原材料价格表!$B$2:$G$436,3,0)</f>
        <v/>
      </c>
      <c r="F70" s="122">
        <f>VLOOKUP(B70,原材料价格表!$B$2:$G$436,6,0)</f>
        <v/>
      </c>
      <c r="G70" s="92">
        <f>VLOOKUP(B70,原材料价格表!$B$2:$G$436,5,0)</f>
        <v/>
      </c>
      <c r="H70" s="123" t="n">
        <v>0.9</v>
      </c>
      <c r="I70" s="124">
        <f>F70/G70/H70</f>
        <v/>
      </c>
      <c r="J70" s="92" t="n">
        <v>60</v>
      </c>
      <c r="K70" s="124">
        <f>I70*J70</f>
        <v/>
      </c>
      <c r="L70" s="92" t="n"/>
    </row>
    <row r="71" hidden="1" ht="17.6" customHeight="1" s="170">
      <c r="A71" s="173" t="n"/>
      <c r="B71" s="92" t="inlineStr">
        <is>
          <t>红叶生菜</t>
        </is>
      </c>
      <c r="C71" s="92">
        <f>VLOOKUP(B71,原材料价格表!$B$2:$J$242,9,)</f>
        <v/>
      </c>
      <c r="D71" s="92">
        <f>VLOOKUP(B71,原材料价格表!$B$2:$G$436,2,0)</f>
        <v/>
      </c>
      <c r="E71" s="92">
        <f>VLOOKUP(B71,原材料价格表!$B$2:$G$436,3,0)</f>
        <v/>
      </c>
      <c r="F71" s="122">
        <f>VLOOKUP(B71,原材料价格表!$B$2:$G$436,6,0)</f>
        <v/>
      </c>
      <c r="G71" s="92">
        <f>VLOOKUP(B71,原材料价格表!$B$2:$G$436,5,0)</f>
        <v/>
      </c>
      <c r="H71" s="123" t="n">
        <v>0.85</v>
      </c>
      <c r="I71" s="124">
        <f>F71/G71/H71</f>
        <v/>
      </c>
      <c r="J71" s="92" t="n">
        <v>30</v>
      </c>
      <c r="K71" s="124">
        <f>I71*J71</f>
        <v/>
      </c>
      <c r="L71" s="145" t="n"/>
    </row>
    <row r="72" hidden="1" ht="18" customHeight="1" s="170">
      <c r="A72" s="174" t="n"/>
      <c r="B72" s="95" t="inlineStr">
        <is>
          <t>售价</t>
        </is>
      </c>
      <c r="C72" s="92" t="n"/>
      <c r="D72" s="175" t="n">
        <v>16</v>
      </c>
      <c r="E72" s="95" t="inlineStr">
        <is>
          <t>售卖份量/g</t>
        </is>
      </c>
      <c r="F72" s="125">
        <f>SUM(J70:J71)</f>
        <v/>
      </c>
      <c r="G72" s="93" t="inlineStr">
        <is>
          <t>总成本（元）</t>
        </is>
      </c>
      <c r="H72" s="176">
        <f>SUM(K70:K71)</f>
        <v/>
      </c>
      <c r="I72" s="127" t="inlineStr">
        <is>
          <t>毛利/元</t>
        </is>
      </c>
      <c r="J72" s="127">
        <f>D72-H72</f>
        <v/>
      </c>
      <c r="K72" s="127" t="inlineStr">
        <is>
          <t>毛利率</t>
        </is>
      </c>
      <c r="L72" s="145">
        <f>J72/D72</f>
        <v/>
      </c>
    </row>
    <row r="73" hidden="1" ht="15.6" customHeight="1" s="170">
      <c r="A73" s="93" t="inlineStr">
        <is>
          <t>山药</t>
        </is>
      </c>
      <c r="B73" s="92" t="inlineStr">
        <is>
          <t>粗山药</t>
        </is>
      </c>
      <c r="C73" s="92">
        <f>VLOOKUP(B73,原材料价格表!$B$2:$J$242,9,)</f>
        <v/>
      </c>
      <c r="D73" s="92">
        <f>VLOOKUP(B73,原材料价格表!$B$2:$G$436,2,0)</f>
        <v/>
      </c>
      <c r="E73" s="92">
        <f>VLOOKUP(B73,原材料价格表!$B$2:$G$436,3,0)</f>
        <v/>
      </c>
      <c r="F73" s="122">
        <f>VLOOKUP(B73,原材料价格表!$B$2:$G$436,6,0)</f>
        <v/>
      </c>
      <c r="G73" s="92">
        <f>VLOOKUP(B73,原材料价格表!$B$2:$G$436,5,0)</f>
        <v/>
      </c>
      <c r="H73" s="123" t="n">
        <v>0.9</v>
      </c>
      <c r="I73" s="124">
        <f>F73/G73/H73</f>
        <v/>
      </c>
      <c r="J73" s="92" t="n">
        <v>160</v>
      </c>
      <c r="K73" s="124">
        <f>I73*J73</f>
        <v/>
      </c>
      <c r="L73" s="92" t="n"/>
    </row>
    <row r="74" hidden="1" ht="17.6" customHeight="1" s="170">
      <c r="A74" s="173" t="n"/>
      <c r="B74" s="92" t="inlineStr">
        <is>
          <t>甜菊</t>
        </is>
      </c>
      <c r="C74" s="92">
        <f>VLOOKUP(B74,原材料价格表!$B$2:$J$242,9,)</f>
        <v/>
      </c>
      <c r="D74" s="92">
        <f>VLOOKUP(B74,原材料价格表!$B$2:$G$436,2,0)</f>
        <v/>
      </c>
      <c r="E74" s="92">
        <f>VLOOKUP(B74,原材料价格表!$B$2:$G$436,3,0)</f>
        <v/>
      </c>
      <c r="F74" s="122">
        <f>VLOOKUP(B74,原材料价格表!$B$2:$G$436,6,0)</f>
        <v/>
      </c>
      <c r="G74" s="92">
        <f>VLOOKUP(B74,原材料价格表!$B$2:$G$436,5,0)</f>
        <v/>
      </c>
      <c r="H74" s="123" t="n">
        <v>0.3</v>
      </c>
      <c r="I74" s="124">
        <f>F74/G74/H74</f>
        <v/>
      </c>
      <c r="J74" s="92" t="n">
        <v>1.5</v>
      </c>
      <c r="K74" s="124">
        <f>I74*J74</f>
        <v/>
      </c>
      <c r="L74" s="145" t="n"/>
    </row>
    <row r="75" hidden="1" ht="18" customHeight="1" s="170">
      <c r="A75" s="174" t="n"/>
      <c r="B75" s="95" t="inlineStr">
        <is>
          <t>售价</t>
        </is>
      </c>
      <c r="C75" s="92" t="n"/>
      <c r="D75" s="175" t="n">
        <v>12</v>
      </c>
      <c r="E75" s="95" t="inlineStr">
        <is>
          <t>售卖份量/g</t>
        </is>
      </c>
      <c r="F75" s="125">
        <f>SUM(J73:J74)</f>
        <v/>
      </c>
      <c r="G75" s="93" t="inlineStr">
        <is>
          <t>总成本（元）</t>
        </is>
      </c>
      <c r="H75" s="176">
        <f>SUM(K73:K74)</f>
        <v/>
      </c>
      <c r="I75" s="127" t="inlineStr">
        <is>
          <t>毛利/元</t>
        </is>
      </c>
      <c r="J75" s="127">
        <f>D75-H75</f>
        <v/>
      </c>
      <c r="K75" s="127" t="inlineStr">
        <is>
          <t>毛利率</t>
        </is>
      </c>
      <c r="L75" s="145">
        <f>J75/D75</f>
        <v/>
      </c>
    </row>
    <row r="76" hidden="1" ht="15.6" customHeight="1" s="170">
      <c r="A76" s="91" t="inlineStr">
        <is>
          <t>甜笋（刺身级）</t>
        </is>
      </c>
      <c r="B76" s="94" t="inlineStr">
        <is>
          <t>甜笋</t>
        </is>
      </c>
      <c r="C76" s="92">
        <f>VLOOKUP(B76,原材料价格表!$B$2:$J$242,9,)</f>
        <v/>
      </c>
      <c r="D76" s="92">
        <f>VLOOKUP(B76,原材料价格表!$B$2:$G$436,2,0)</f>
        <v/>
      </c>
      <c r="E76" s="92">
        <f>VLOOKUP(B76,原材料价格表!$B$2:$G$436,3,0)</f>
        <v/>
      </c>
      <c r="F76" s="122">
        <f>VLOOKUP(B76,原材料价格表!$B$2:$G$436,6,0)</f>
        <v/>
      </c>
      <c r="G76" s="92">
        <f>VLOOKUP(B76,原材料价格表!$B$2:$G$436,5,0)</f>
        <v/>
      </c>
      <c r="H76" s="123" t="n">
        <v>0.9</v>
      </c>
      <c r="I76" s="124">
        <f>F76/G76/H76</f>
        <v/>
      </c>
      <c r="J76" s="92" t="n">
        <v>80</v>
      </c>
      <c r="K76" s="124">
        <f>I76*J76</f>
        <v/>
      </c>
      <c r="L76" s="92" t="n"/>
    </row>
    <row r="77" hidden="1" ht="17.6" customHeight="1" s="170">
      <c r="A77" s="173" t="n"/>
      <c r="B77" s="94" t="inlineStr">
        <is>
          <t>水</t>
        </is>
      </c>
      <c r="C77" s="92">
        <f>VLOOKUP(B77,原材料价格表!$B$2:$J$242,9,)</f>
        <v/>
      </c>
      <c r="D77" s="92">
        <f>VLOOKUP(B77,原材料价格表!$B$2:$G$436,2,0)</f>
        <v/>
      </c>
      <c r="E77" s="92">
        <f>VLOOKUP(B77,原材料价格表!$B$2:$G$436,3,0)</f>
        <v/>
      </c>
      <c r="F77" s="122">
        <f>VLOOKUP(B77,原材料价格表!$B$2:$G$436,6,0)</f>
        <v/>
      </c>
      <c r="G77" s="92">
        <f>VLOOKUP(B77,原材料价格表!$B$2:$G$436,5,0)</f>
        <v/>
      </c>
      <c r="H77" s="123" t="n">
        <v>1</v>
      </c>
      <c r="I77" s="124">
        <f>F77/G77/H77</f>
        <v/>
      </c>
      <c r="J77" s="92" t="n">
        <v>80</v>
      </c>
      <c r="K77" s="124">
        <f>I77*J77</f>
        <v/>
      </c>
      <c r="L77" s="145" t="n"/>
    </row>
    <row r="78" hidden="1" ht="18" customHeight="1" s="170">
      <c r="A78" s="174" t="n"/>
      <c r="B78" s="95" t="inlineStr">
        <is>
          <t>售价</t>
        </is>
      </c>
      <c r="C78" s="92" t="n"/>
      <c r="D78" s="175" t="n">
        <v>16</v>
      </c>
      <c r="E78" s="95" t="inlineStr">
        <is>
          <t>售卖份量/g</t>
        </is>
      </c>
      <c r="F78" s="125">
        <f>SUM(J76:J77)</f>
        <v/>
      </c>
      <c r="G78" s="93" t="inlineStr">
        <is>
          <t>总成本（元）</t>
        </is>
      </c>
      <c r="H78" s="176">
        <f>SUM(K76:K77)</f>
        <v/>
      </c>
      <c r="I78" s="127" t="inlineStr">
        <is>
          <t>毛利/元</t>
        </is>
      </c>
      <c r="J78" s="127">
        <f>D78-H78</f>
        <v/>
      </c>
      <c r="K78" s="127" t="inlineStr">
        <is>
          <t>毛利率</t>
        </is>
      </c>
      <c r="L78" s="145">
        <f>J78/D78</f>
        <v/>
      </c>
    </row>
    <row r="79" hidden="1" ht="15.6" customHeight="1" s="170">
      <c r="A79" s="91" t="inlineStr">
        <is>
          <t>三脆碗</t>
        </is>
      </c>
      <c r="B79" s="92" t="inlineStr">
        <is>
          <t>干黄花</t>
        </is>
      </c>
      <c r="C79" s="92">
        <f>VLOOKUP(B79,原材料价格表!$B$2:$J$242,9,)</f>
        <v/>
      </c>
      <c r="D79" s="92">
        <f>VLOOKUP(B79,原材料价格表!$B$2:$G$436,2,0)</f>
        <v/>
      </c>
      <c r="E79" s="92">
        <f>VLOOKUP(B79,原材料价格表!$B$2:$G$436,3,0)</f>
        <v/>
      </c>
      <c r="F79" s="122">
        <f>VLOOKUP(B79,原材料价格表!$B$2:$G$436,6,0)</f>
        <v/>
      </c>
      <c r="G79" s="92">
        <f>VLOOKUP(B79,原材料价格表!$B$2:$G$436,5,0)</f>
        <v/>
      </c>
      <c r="H79" s="123" t="n">
        <v>1</v>
      </c>
      <c r="I79" s="124">
        <f>F79/G79/H79</f>
        <v/>
      </c>
      <c r="J79" s="92" t="n">
        <v>25</v>
      </c>
      <c r="K79" s="124">
        <f>I79*J79</f>
        <v/>
      </c>
      <c r="L79" s="92" t="n"/>
    </row>
    <row r="80" hidden="1" ht="17.6" customHeight="1" s="170">
      <c r="A80" s="173" t="n"/>
      <c r="B80" s="92" t="inlineStr">
        <is>
          <t>干花菜</t>
        </is>
      </c>
      <c r="C80" s="92">
        <f>VLOOKUP(B80,原材料价格表!$B$2:$J$242,9,)</f>
        <v/>
      </c>
      <c r="D80" s="92">
        <f>VLOOKUP(B80,原材料价格表!$B$2:$G$436,2,0)</f>
        <v/>
      </c>
      <c r="E80" s="92">
        <f>VLOOKUP(B80,原材料价格表!$B$2:$G$436,3,0)</f>
        <v/>
      </c>
      <c r="F80" s="122">
        <f>VLOOKUP(B80,原材料价格表!$B$2:$G$436,6,0)</f>
        <v/>
      </c>
      <c r="G80" s="92">
        <f>VLOOKUP(B80,原材料价格表!$B$2:$G$436,5,0)</f>
        <v/>
      </c>
      <c r="H80" s="123" t="n">
        <v>1</v>
      </c>
      <c r="I80" s="124">
        <f>F80/G80/H80</f>
        <v/>
      </c>
      <c r="J80" s="92" t="n">
        <v>50</v>
      </c>
      <c r="K80" s="124">
        <f>I80*J80</f>
        <v/>
      </c>
      <c r="L80" s="145" t="n"/>
    </row>
    <row r="81" hidden="1" ht="17.6" customHeight="1" s="170">
      <c r="A81" s="173" t="n"/>
      <c r="B81" s="92" t="inlineStr">
        <is>
          <t>干贡菜</t>
        </is>
      </c>
      <c r="C81" s="92">
        <f>VLOOKUP(B81,原材料价格表!$B$2:$J$242,9,)</f>
        <v/>
      </c>
      <c r="D81" s="92">
        <f>VLOOKUP(B81,原材料价格表!$B$2:$G$436,2,0)</f>
        <v/>
      </c>
      <c r="E81" s="92">
        <f>VLOOKUP(B81,原材料价格表!$B$2:$G$436,3,0)</f>
        <v/>
      </c>
      <c r="F81" s="122">
        <f>VLOOKUP(B81,原材料价格表!$B$2:$G$436,6,0)</f>
        <v/>
      </c>
      <c r="G81" s="92">
        <f>VLOOKUP(B81,原材料价格表!$B$2:$G$436,5,0)</f>
        <v/>
      </c>
      <c r="H81" s="123" t="n">
        <v>1</v>
      </c>
      <c r="I81" s="124">
        <f>F81/G81/H81</f>
        <v/>
      </c>
      <c r="J81" s="92" t="n">
        <v>40</v>
      </c>
      <c r="K81" s="124">
        <f>I81*J81</f>
        <v/>
      </c>
      <c r="L81" s="145" t="n"/>
    </row>
    <row r="82" hidden="1" ht="18" customHeight="1" s="170">
      <c r="A82" s="174" t="n"/>
      <c r="B82" s="95" t="inlineStr">
        <is>
          <t>售价</t>
        </is>
      </c>
      <c r="C82" s="92" t="n"/>
      <c r="D82" s="175" t="n">
        <v>22</v>
      </c>
      <c r="E82" s="95" t="inlineStr">
        <is>
          <t>售卖份量/g</t>
        </is>
      </c>
      <c r="F82" s="125">
        <f>SUM(J79:J81)</f>
        <v/>
      </c>
      <c r="G82" s="93" t="inlineStr">
        <is>
          <t>总成本（元）</t>
        </is>
      </c>
      <c r="H82" s="176">
        <f>SUM(K79:K81)</f>
        <v/>
      </c>
      <c r="I82" s="127" t="inlineStr">
        <is>
          <t>毛利/元</t>
        </is>
      </c>
      <c r="J82" s="127">
        <f>D82-H82</f>
        <v/>
      </c>
      <c r="K82" s="127" t="inlineStr">
        <is>
          <t>毛利率</t>
        </is>
      </c>
      <c r="L82" s="145">
        <f>J82/D82</f>
        <v/>
      </c>
    </row>
    <row r="83" hidden="1" ht="15.6" customHeight="1" s="170">
      <c r="A83" s="93" t="inlineStr">
        <is>
          <t>姜柄瓜</t>
        </is>
      </c>
      <c r="B83" s="92" t="inlineStr">
        <is>
          <t>姜柄瓜</t>
        </is>
      </c>
      <c r="C83" s="92">
        <f>VLOOKUP(B83,原材料价格表!$B$2:$J$242,9,)</f>
        <v/>
      </c>
      <c r="D83" s="92">
        <f>VLOOKUP(B83,原材料价格表!$B$2:$G$436,2,0)</f>
        <v/>
      </c>
      <c r="E83" s="92">
        <f>VLOOKUP(B83,原材料价格表!$B$2:$G$436,3,0)</f>
        <v/>
      </c>
      <c r="F83" s="122">
        <f>VLOOKUP(B83,原材料价格表!$B$2:$G$436,6,0)</f>
        <v/>
      </c>
      <c r="G83" s="92">
        <f>VLOOKUP(B83,原材料价格表!$B$2:$G$436,5,0)</f>
        <v/>
      </c>
      <c r="H83" s="123" t="n">
        <v>0.95</v>
      </c>
      <c r="I83" s="124">
        <f>F83/G83/H83</f>
        <v/>
      </c>
      <c r="J83" s="92" t="n">
        <v>140</v>
      </c>
      <c r="K83" s="124">
        <f>I83*J83</f>
        <v/>
      </c>
      <c r="L83" s="92" t="n"/>
    </row>
    <row r="84" hidden="1" ht="17.6" customHeight="1" s="170">
      <c r="A84" s="173" t="n"/>
      <c r="B84" s="92" t="inlineStr">
        <is>
          <t>羽衣甘蓝</t>
        </is>
      </c>
      <c r="C84" s="92">
        <f>VLOOKUP(B84,原材料价格表!$B$2:$J$242,9,)</f>
        <v/>
      </c>
      <c r="D84" s="92">
        <f>VLOOKUP(B84,原材料价格表!$B$2:$G$436,2,0)</f>
        <v/>
      </c>
      <c r="E84" s="92">
        <f>VLOOKUP(B84,原材料价格表!$B$2:$G$436,3,0)</f>
        <v/>
      </c>
      <c r="F84" s="122">
        <f>VLOOKUP(B84,原材料价格表!$B$2:$G$436,6,0)</f>
        <v/>
      </c>
      <c r="G84" s="92">
        <f>VLOOKUP(B84,原材料价格表!$B$2:$G$436,5,0)</f>
        <v/>
      </c>
      <c r="H84" s="123" t="n">
        <v>1</v>
      </c>
      <c r="I84" s="124">
        <f>F84/G84/H84</f>
        <v/>
      </c>
      <c r="J84" s="92" t="n">
        <v>20</v>
      </c>
      <c r="K84" s="124">
        <f>I84*J84</f>
        <v/>
      </c>
      <c r="L84" s="145" t="n"/>
    </row>
    <row r="85" hidden="1" ht="18" customHeight="1" s="170">
      <c r="A85" s="174" t="n"/>
      <c r="B85" s="95" t="inlineStr">
        <is>
          <t>售价</t>
        </is>
      </c>
      <c r="C85" s="92" t="n"/>
      <c r="D85" s="175" t="n">
        <v>16</v>
      </c>
      <c r="E85" s="95" t="inlineStr">
        <is>
          <t>售卖份量/g</t>
        </is>
      </c>
      <c r="F85" s="125">
        <f>SUM(J83:J84)</f>
        <v/>
      </c>
      <c r="G85" s="93" t="inlineStr">
        <is>
          <t>总成本（元）</t>
        </is>
      </c>
      <c r="H85" s="176">
        <f>SUM(K83:K84)</f>
        <v/>
      </c>
      <c r="I85" s="127" t="inlineStr">
        <is>
          <t>毛利/元</t>
        </is>
      </c>
      <c r="J85" s="127">
        <f>D85-H85</f>
        <v/>
      </c>
      <c r="K85" s="127" t="inlineStr">
        <is>
          <t>毛利率</t>
        </is>
      </c>
      <c r="L85" s="145">
        <f>J85/D85</f>
        <v/>
      </c>
    </row>
    <row r="86" hidden="1" ht="15.6" customHeight="1" s="170">
      <c r="A86" s="91" t="inlineStr">
        <is>
          <t>双花碗</t>
        </is>
      </c>
      <c r="B86" s="92" t="inlineStr">
        <is>
          <t>花生芽</t>
        </is>
      </c>
      <c r="C86" s="92">
        <f>VLOOKUP(B86,原材料价格表!$B$2:$J$242,9,)</f>
        <v/>
      </c>
      <c r="D86" s="92">
        <f>VLOOKUP(B86,原材料价格表!$B$2:$G$436,2,0)</f>
        <v/>
      </c>
      <c r="E86" s="92">
        <f>VLOOKUP(B86,原材料价格表!$B$2:$G$436,3,0)</f>
        <v/>
      </c>
      <c r="F86" s="122">
        <f>VLOOKUP(B86,原材料价格表!$B$2:$G$436,6,0)</f>
        <v/>
      </c>
      <c r="G86" s="92">
        <f>VLOOKUP(B86,原材料价格表!$B$2:$G$436,5,0)</f>
        <v/>
      </c>
      <c r="H86" s="123" t="n">
        <v>0.95</v>
      </c>
      <c r="I86" s="124">
        <f>F86/G86/H86</f>
        <v/>
      </c>
      <c r="J86" s="92" t="n">
        <v>120</v>
      </c>
      <c r="K86" s="124">
        <f>I86*J86</f>
        <v/>
      </c>
      <c r="L86" s="92" t="n"/>
    </row>
    <row r="87" hidden="1" ht="17.6" customHeight="1" s="170">
      <c r="A87" s="173" t="n"/>
      <c r="B87" s="92" t="inlineStr">
        <is>
          <t>黄瓜花</t>
        </is>
      </c>
      <c r="C87" s="92">
        <f>VLOOKUP(B87,原材料价格表!$B$2:$J$242,9,)</f>
        <v/>
      </c>
      <c r="D87" s="92">
        <f>VLOOKUP(B87,原材料价格表!$B$2:$G$436,2,0)</f>
        <v/>
      </c>
      <c r="E87" s="92">
        <f>VLOOKUP(B87,原材料价格表!$B$2:$G$436,3,0)</f>
        <v/>
      </c>
      <c r="F87" s="122">
        <f>VLOOKUP(B87,原材料价格表!$B$2:$G$436,6,0)</f>
        <v/>
      </c>
      <c r="G87" s="92">
        <f>VLOOKUP(B87,原材料价格表!$B$2:$G$436,5,0)</f>
        <v/>
      </c>
      <c r="H87" s="123" t="n">
        <v>0.9</v>
      </c>
      <c r="I87" s="124">
        <f>F87/G87/H87</f>
        <v/>
      </c>
      <c r="J87" s="92" t="n">
        <v>50</v>
      </c>
      <c r="K87" s="124">
        <f>I87*J87</f>
        <v/>
      </c>
      <c r="L87" s="145" t="n"/>
    </row>
    <row r="88" hidden="1" ht="18" customHeight="1" s="170">
      <c r="A88" s="174" t="n"/>
      <c r="B88" s="95" t="inlineStr">
        <is>
          <t>售价</t>
        </is>
      </c>
      <c r="C88" s="92" t="n"/>
      <c r="D88" s="175" t="n">
        <v>22</v>
      </c>
      <c r="E88" s="95" t="inlineStr">
        <is>
          <t>售卖份量/g</t>
        </is>
      </c>
      <c r="F88" s="125">
        <f>SUM(J86:J87)</f>
        <v/>
      </c>
      <c r="G88" s="93" t="inlineStr">
        <is>
          <t>总成本（元）</t>
        </is>
      </c>
      <c r="H88" s="176">
        <f>SUM(K86:K87)</f>
        <v/>
      </c>
      <c r="I88" s="127" t="inlineStr">
        <is>
          <t>毛利/元</t>
        </is>
      </c>
      <c r="J88" s="127">
        <f>D88-H88</f>
        <v/>
      </c>
      <c r="K88" s="127" t="inlineStr">
        <is>
          <t>毛利率</t>
        </is>
      </c>
      <c r="L88" s="145">
        <f>J88/D88</f>
        <v/>
      </c>
    </row>
    <row r="89" hidden="1" ht="15.6" customHeight="1" s="170">
      <c r="A89" s="91" t="inlineStr">
        <is>
          <t>彩云土豆</t>
        </is>
      </c>
      <c r="B89" s="92" t="inlineStr">
        <is>
          <t>七彩土豆</t>
        </is>
      </c>
      <c r="C89" s="92">
        <f>VLOOKUP(B89,原材料价格表!$B$2:$J$242,9,)</f>
        <v/>
      </c>
      <c r="D89" s="92">
        <f>VLOOKUP(B89,原材料价格表!$B$2:$G$436,2,0)</f>
        <v/>
      </c>
      <c r="E89" s="92">
        <f>VLOOKUP(B89,原材料价格表!$B$2:$G$436,3,0)</f>
        <v/>
      </c>
      <c r="F89" s="122">
        <f>VLOOKUP(B89,原材料价格表!$B$2:$G$436,6,0)</f>
        <v/>
      </c>
      <c r="G89" s="92">
        <f>VLOOKUP(B89,原材料价格表!$B$2:$G$436,5,0)</f>
        <v/>
      </c>
      <c r="H89" s="123" t="n">
        <v>0.9</v>
      </c>
      <c r="I89" s="124">
        <f>F89/G89/H89</f>
        <v/>
      </c>
      <c r="J89" s="92" t="n">
        <v>100</v>
      </c>
      <c r="K89" s="124">
        <f>I89*J89</f>
        <v/>
      </c>
      <c r="L89" s="92" t="n"/>
    </row>
    <row r="90" hidden="1" ht="18" customHeight="1" s="170">
      <c r="A90" s="174" t="n"/>
      <c r="B90" s="95" t="inlineStr">
        <is>
          <t>售价</t>
        </is>
      </c>
      <c r="C90" s="92" t="n"/>
      <c r="D90" s="175" t="n">
        <v>12</v>
      </c>
      <c r="E90" s="95" t="inlineStr">
        <is>
          <t>售卖份量/g</t>
        </is>
      </c>
      <c r="F90" s="125">
        <f>SUM(J89)</f>
        <v/>
      </c>
      <c r="G90" s="93" t="inlineStr">
        <is>
          <t>总成本（元）</t>
        </is>
      </c>
      <c r="H90" s="176">
        <f>SUM(K89)</f>
        <v/>
      </c>
      <c r="I90" s="127" t="inlineStr">
        <is>
          <t>毛利/元</t>
        </is>
      </c>
      <c r="J90" s="127">
        <f>D90-H90</f>
        <v/>
      </c>
      <c r="K90" s="127" t="inlineStr">
        <is>
          <t>毛利率</t>
        </is>
      </c>
      <c r="L90" s="145">
        <f>J90/D90</f>
        <v/>
      </c>
    </row>
    <row r="91" hidden="1" ht="15.6" customHeight="1" s="170">
      <c r="A91" s="93" t="inlineStr">
        <is>
          <t>藕</t>
        </is>
      </c>
      <c r="B91" s="92" t="inlineStr">
        <is>
          <t>藕</t>
        </is>
      </c>
      <c r="C91" s="92">
        <f>VLOOKUP(B91,原材料价格表!$B$2:$J$242,9,)</f>
        <v/>
      </c>
      <c r="D91" s="92">
        <f>VLOOKUP(B91,原材料价格表!$B$2:$G$436,2,0)</f>
        <v/>
      </c>
      <c r="E91" s="92">
        <f>VLOOKUP(B91,原材料价格表!$B$2:$G$436,3,0)</f>
        <v/>
      </c>
      <c r="F91" s="122">
        <f>VLOOKUP(B91,原材料价格表!$B$2:$G$436,6,0)</f>
        <v/>
      </c>
      <c r="G91" s="92">
        <f>VLOOKUP(B91,原材料价格表!$B$2:$G$436,5,0)</f>
        <v/>
      </c>
      <c r="H91" s="123" t="n">
        <v>0.9</v>
      </c>
      <c r="I91" s="124">
        <f>F91/G91/H91</f>
        <v/>
      </c>
      <c r="J91" s="92" t="n">
        <v>120</v>
      </c>
      <c r="K91" s="124">
        <f>I91*J91</f>
        <v/>
      </c>
      <c r="L91" s="92" t="n"/>
    </row>
    <row r="92" hidden="1" ht="17.6" customHeight="1" s="170">
      <c r="A92" s="173" t="n"/>
      <c r="B92" s="92" t="inlineStr">
        <is>
          <t>红叶生菜</t>
        </is>
      </c>
      <c r="C92" s="92">
        <f>VLOOKUP(B92,原材料价格表!$B$2:$J$242,9,)</f>
        <v/>
      </c>
      <c r="D92" s="92">
        <f>VLOOKUP(B92,原材料价格表!$B$2:$G$436,2,0)</f>
        <v/>
      </c>
      <c r="E92" s="92">
        <f>VLOOKUP(B92,原材料价格表!$B$2:$G$436,3,0)</f>
        <v/>
      </c>
      <c r="F92" s="122">
        <f>VLOOKUP(B92,原材料价格表!$B$2:$G$436,6,0)</f>
        <v/>
      </c>
      <c r="G92" s="92">
        <f>VLOOKUP(B92,原材料价格表!$B$2:$G$436,5,0)</f>
        <v/>
      </c>
      <c r="H92" s="123" t="n">
        <v>0.85</v>
      </c>
      <c r="I92" s="124">
        <f>F92/G92/H92</f>
        <v/>
      </c>
      <c r="J92" s="92" t="n">
        <v>25</v>
      </c>
      <c r="K92" s="124">
        <f>I92*J92</f>
        <v/>
      </c>
      <c r="L92" s="145" t="n"/>
    </row>
    <row r="93" hidden="1" ht="17.6" customHeight="1" s="170">
      <c r="A93" s="173" t="n"/>
      <c r="B93" s="92" t="inlineStr">
        <is>
          <t>羽衣甘蓝</t>
        </is>
      </c>
      <c r="C93" s="92">
        <f>VLOOKUP(B93,原材料价格表!$B$2:$J$242,9,)</f>
        <v/>
      </c>
      <c r="D93" s="92">
        <f>VLOOKUP(B93,原材料价格表!$B$2:$G$436,2,0)</f>
        <v/>
      </c>
      <c r="E93" s="92">
        <f>VLOOKUP(B93,原材料价格表!$B$2:$G$436,3,0)</f>
        <v/>
      </c>
      <c r="F93" s="122">
        <f>VLOOKUP(B93,原材料价格表!$B$2:$G$436,6,0)</f>
        <v/>
      </c>
      <c r="G93" s="92">
        <f>VLOOKUP(B93,原材料价格表!$B$2:$G$436,5,0)</f>
        <v/>
      </c>
      <c r="H93" s="123" t="n">
        <v>1</v>
      </c>
      <c r="I93" s="124">
        <f>F93/G93/H93</f>
        <v/>
      </c>
      <c r="J93" s="92" t="n">
        <v>25</v>
      </c>
      <c r="K93" s="124">
        <f>I93*J93</f>
        <v/>
      </c>
      <c r="L93" s="145" t="n"/>
    </row>
    <row r="94" hidden="1" ht="18" customHeight="1" s="170">
      <c r="A94" s="174" t="n"/>
      <c r="B94" s="95" t="inlineStr">
        <is>
          <t>售价</t>
        </is>
      </c>
      <c r="C94" s="92" t="n"/>
      <c r="D94" s="175" t="n">
        <v>12</v>
      </c>
      <c r="E94" s="95" t="inlineStr">
        <is>
          <t>售卖份量/g</t>
        </is>
      </c>
      <c r="F94" s="125">
        <f>SUM(J91:J93)</f>
        <v/>
      </c>
      <c r="G94" s="93" t="inlineStr">
        <is>
          <t>总成本（元）</t>
        </is>
      </c>
      <c r="H94" s="176">
        <f>SUM(K91:K93)</f>
        <v/>
      </c>
      <c r="I94" s="127" t="inlineStr">
        <is>
          <t>毛利/元</t>
        </is>
      </c>
      <c r="J94" s="127">
        <f>D94-H94</f>
        <v/>
      </c>
      <c r="K94" s="127" t="inlineStr">
        <is>
          <t>毛利率</t>
        </is>
      </c>
      <c r="L94" s="145">
        <f>J94/D94</f>
        <v/>
      </c>
    </row>
    <row r="95" hidden="1" ht="15.6" customHeight="1" s="170">
      <c r="A95" s="93" t="inlineStr">
        <is>
          <t>石磨黑豆腐</t>
        </is>
      </c>
      <c r="B95" s="92" t="inlineStr">
        <is>
          <t>黑豆腐</t>
        </is>
      </c>
      <c r="C95" s="92">
        <f>VLOOKUP(B95,原材料价格表!$B$2:$J$242,9,)</f>
        <v/>
      </c>
      <c r="D95" s="92">
        <f>VLOOKUP(B95,原材料价格表!$B$2:$G$436,2,0)</f>
        <v/>
      </c>
      <c r="E95" s="92">
        <f>VLOOKUP(B95,原材料价格表!$B$2:$G$436,3,0)</f>
        <v/>
      </c>
      <c r="F95" s="122">
        <f>VLOOKUP(B95,原材料价格表!$B$2:$G$436,6,0)</f>
        <v/>
      </c>
      <c r="G95" s="92">
        <f>VLOOKUP(B95,原材料价格表!$B$2:$G$436,5,0)</f>
        <v/>
      </c>
      <c r="H95" s="123" t="n">
        <v>1</v>
      </c>
      <c r="I95" s="124">
        <f>F95/G95/H95</f>
        <v/>
      </c>
      <c r="J95" s="92" t="n">
        <v>250</v>
      </c>
      <c r="K95" s="124">
        <f>I95*J95</f>
        <v/>
      </c>
      <c r="L95" s="92" t="n"/>
    </row>
    <row r="96" hidden="1" ht="17.6" customHeight="1" s="170">
      <c r="A96" s="173" t="n"/>
      <c r="B96" s="92" t="inlineStr">
        <is>
          <t>红叶生菜</t>
        </is>
      </c>
      <c r="C96" s="92">
        <f>VLOOKUP(B96,原材料价格表!$B$2:$J$242,9,)</f>
        <v/>
      </c>
      <c r="D96" s="92">
        <f>VLOOKUP(B96,原材料价格表!$B$2:$G$436,2,0)</f>
        <v/>
      </c>
      <c r="E96" s="92">
        <f>VLOOKUP(B96,原材料价格表!$B$2:$G$436,3,0)</f>
        <v/>
      </c>
      <c r="F96" s="122">
        <f>VLOOKUP(B96,原材料价格表!$B$2:$G$436,6,0)</f>
        <v/>
      </c>
      <c r="G96" s="92">
        <f>VLOOKUP(B96,原材料价格表!$B$2:$G$436,5,0)</f>
        <v/>
      </c>
      <c r="H96" s="123" t="n">
        <v>0.85</v>
      </c>
      <c r="I96" s="124">
        <f>F96/G96/H96</f>
        <v/>
      </c>
      <c r="J96" s="92" t="n">
        <v>30</v>
      </c>
      <c r="K96" s="124">
        <f>I96*J96</f>
        <v/>
      </c>
      <c r="L96" s="145" t="n"/>
    </row>
    <row r="97" hidden="1" ht="18" customHeight="1" s="170">
      <c r="A97" s="174" t="n"/>
      <c r="B97" s="95" t="inlineStr">
        <is>
          <t>售价</t>
        </is>
      </c>
      <c r="C97" s="92" t="n"/>
      <c r="D97" s="175" t="n">
        <v>16</v>
      </c>
      <c r="E97" s="95" t="inlineStr">
        <is>
          <t>售卖份量/g</t>
        </is>
      </c>
      <c r="F97" s="125">
        <f>SUM(J95:J96)</f>
        <v/>
      </c>
      <c r="G97" s="93" t="inlineStr">
        <is>
          <t>总成本（元）</t>
        </is>
      </c>
      <c r="H97" s="176">
        <f>SUM(K95:K96)</f>
        <v/>
      </c>
      <c r="I97" s="127" t="inlineStr">
        <is>
          <t>毛利/元</t>
        </is>
      </c>
      <c r="J97" s="127">
        <f>D97-H97</f>
        <v/>
      </c>
      <c r="K97" s="127" t="inlineStr">
        <is>
          <t>毛利率</t>
        </is>
      </c>
      <c r="L97" s="145">
        <f>J97/D97</f>
        <v/>
      </c>
    </row>
    <row r="98" hidden="1" ht="15.6" customHeight="1" s="170">
      <c r="A98" s="91" t="inlineStr">
        <is>
          <t>野篮子菌菇组合</t>
        </is>
      </c>
      <c r="B98" s="92" t="inlineStr">
        <is>
          <t>牛肝菌</t>
        </is>
      </c>
      <c r="C98" s="92">
        <f>VLOOKUP(B98,原材料价格表!$B$2:$J$242,9,)</f>
        <v/>
      </c>
      <c r="D98" s="92">
        <f>VLOOKUP(B98,原材料价格表!$B$2:$G$436,2,0)</f>
        <v/>
      </c>
      <c r="E98" s="92">
        <f>VLOOKUP(B98,原材料价格表!$B$2:$G$436,3,0)</f>
        <v/>
      </c>
      <c r="F98" s="122">
        <f>VLOOKUP(B98,原材料价格表!$B$2:$G$436,6,0)</f>
        <v/>
      </c>
      <c r="G98" s="92">
        <f>VLOOKUP(B98,原材料价格表!$B$2:$G$436,5,0)</f>
        <v/>
      </c>
      <c r="H98" s="123" t="n">
        <v>0.95</v>
      </c>
      <c r="I98" s="124">
        <f>F98/G98/H98</f>
        <v/>
      </c>
      <c r="J98" s="92" t="n">
        <v>50</v>
      </c>
      <c r="K98" s="124">
        <f>I98*J98</f>
        <v/>
      </c>
      <c r="L98" s="92" t="n"/>
    </row>
    <row r="99" hidden="1" ht="15.6" customHeight="1" s="170">
      <c r="A99" s="173" t="n"/>
      <c r="B99" s="92" t="inlineStr">
        <is>
          <t>球盖菇</t>
        </is>
      </c>
      <c r="C99" s="92">
        <f>VLOOKUP(B99,原材料价格表!$B$2:$J$242,9,)</f>
        <v/>
      </c>
      <c r="D99" s="92">
        <f>VLOOKUP(B99,原材料价格表!$B$2:$G$436,2,0)</f>
        <v/>
      </c>
      <c r="E99" s="92">
        <f>VLOOKUP(B99,原材料价格表!$B$2:$G$436,3,0)</f>
        <v/>
      </c>
      <c r="F99" s="122">
        <f>VLOOKUP(B99,原材料价格表!$B$2:$G$436,6,0)</f>
        <v/>
      </c>
      <c r="G99" s="92">
        <f>VLOOKUP(B99,原材料价格表!$B$2:$G$436,5,0)</f>
        <v/>
      </c>
      <c r="H99" s="123" t="n">
        <v>0.95</v>
      </c>
      <c r="I99" s="124">
        <f>F99/G99/H99</f>
        <v/>
      </c>
      <c r="J99" s="92" t="n">
        <v>50</v>
      </c>
      <c r="K99" s="124">
        <f>I99*J99</f>
        <v/>
      </c>
      <c r="L99" s="92" t="n"/>
    </row>
    <row r="100" hidden="1" ht="15.6" customHeight="1" s="170">
      <c r="A100" s="173" t="n"/>
      <c r="B100" s="92" t="inlineStr">
        <is>
          <t>鹿茸菇</t>
        </is>
      </c>
      <c r="C100" s="92">
        <f>VLOOKUP(B100,原材料价格表!$B$2:$J$242,9,)</f>
        <v/>
      </c>
      <c r="D100" s="92">
        <f>VLOOKUP(B100,原材料价格表!$B$2:$G$436,2,0)</f>
        <v/>
      </c>
      <c r="E100" s="92">
        <f>VLOOKUP(B100,原材料价格表!$B$2:$G$436,3,0)</f>
        <v/>
      </c>
      <c r="F100" s="122">
        <f>VLOOKUP(B100,原材料价格表!$B$2:$G$436,6,0)</f>
        <v/>
      </c>
      <c r="G100" s="92">
        <f>VLOOKUP(B100,原材料价格表!$B$2:$G$436,5,0)</f>
        <v/>
      </c>
      <c r="H100" s="123" t="n">
        <v>0.95</v>
      </c>
      <c r="I100" s="124">
        <f>F100/G100/H100</f>
        <v/>
      </c>
      <c r="J100" s="92" t="n">
        <v>60</v>
      </c>
      <c r="K100" s="124">
        <f>I100*J100</f>
        <v/>
      </c>
      <c r="L100" s="92" t="n"/>
    </row>
    <row r="101" hidden="1" ht="15.6" customHeight="1" s="170">
      <c r="A101" s="173" t="n"/>
      <c r="B101" s="92" t="inlineStr">
        <is>
          <t>金耳菌</t>
        </is>
      </c>
      <c r="C101" s="92">
        <f>VLOOKUP(B101,原材料价格表!$B$2:$J$242,9,)</f>
        <v/>
      </c>
      <c r="D101" s="92">
        <f>VLOOKUP(B101,原材料价格表!$B$2:$G$436,2,0)</f>
        <v/>
      </c>
      <c r="E101" s="92">
        <f>VLOOKUP(B101,原材料价格表!$B$2:$G$436,3,0)</f>
        <v/>
      </c>
      <c r="F101" s="122">
        <f>VLOOKUP(B101,原材料价格表!$B$2:$G$436,6,0)</f>
        <v/>
      </c>
      <c r="G101" s="92">
        <f>VLOOKUP(B101,原材料价格表!$B$2:$G$436,5,0)</f>
        <v/>
      </c>
      <c r="H101" s="123" t="n">
        <v>1</v>
      </c>
      <c r="I101" s="124">
        <f>F101/G101/H101</f>
        <v/>
      </c>
      <c r="J101" s="92" t="n">
        <v>80</v>
      </c>
      <c r="K101" s="124">
        <f>I101*J101</f>
        <v/>
      </c>
      <c r="L101" s="92" t="n"/>
    </row>
    <row r="102" hidden="1" ht="15.6" customHeight="1" s="170">
      <c r="A102" s="173" t="n"/>
      <c r="B102" s="92" t="inlineStr">
        <is>
          <t>绣球菌</t>
        </is>
      </c>
      <c r="C102" s="92">
        <f>VLOOKUP(B102,原材料价格表!$B$2:$J$242,9,)</f>
        <v/>
      </c>
      <c r="D102" s="92">
        <f>VLOOKUP(B102,原材料价格表!$B$2:$G$436,2,0)</f>
        <v/>
      </c>
      <c r="E102" s="92">
        <f>VLOOKUP(B102,原材料价格表!$B$2:$G$436,3,0)</f>
        <v/>
      </c>
      <c r="F102" s="122">
        <f>VLOOKUP(B102,原材料价格表!$B$2:$G$436,6,0)</f>
        <v/>
      </c>
      <c r="G102" s="92">
        <f>VLOOKUP(B102,原材料价格表!$B$2:$G$436,5,0)</f>
        <v/>
      </c>
      <c r="H102" s="123" t="n">
        <v>0.95</v>
      </c>
      <c r="I102" s="124">
        <f>F102/G102/H102</f>
        <v/>
      </c>
      <c r="J102" s="92" t="n">
        <v>60</v>
      </c>
      <c r="K102" s="124">
        <f>I102*J102</f>
        <v/>
      </c>
      <c r="L102" s="92" t="n"/>
    </row>
    <row r="103" hidden="1" ht="15.6" customHeight="1" s="170">
      <c r="A103" s="173" t="n"/>
      <c r="B103" s="92" t="inlineStr">
        <is>
          <t>莲白</t>
        </is>
      </c>
      <c r="C103" s="92">
        <f>VLOOKUP(B103,原材料价格表!$B$2:$J$242,9,)</f>
        <v/>
      </c>
      <c r="D103" s="92">
        <f>VLOOKUP(B103,原材料价格表!$B$2:$G$436,2,0)</f>
        <v/>
      </c>
      <c r="E103" s="92">
        <f>VLOOKUP(B103,原材料价格表!$B$2:$G$436,3,0)</f>
        <v/>
      </c>
      <c r="F103" s="122">
        <f>VLOOKUP(B103,原材料价格表!$B$2:$G$436,6,0)</f>
        <v/>
      </c>
      <c r="G103" s="92">
        <f>VLOOKUP(B103,原材料价格表!$B$2:$G$436,5,0)</f>
        <v/>
      </c>
      <c r="H103" s="123" t="n">
        <v>1</v>
      </c>
      <c r="I103" s="124">
        <f>F103/G103/H103</f>
        <v/>
      </c>
      <c r="J103" s="92" t="n">
        <v>300</v>
      </c>
      <c r="K103" s="124">
        <f>I103*J103</f>
        <v/>
      </c>
      <c r="L103" s="92" t="n"/>
    </row>
    <row r="104" hidden="1" ht="17.6" customHeight="1" s="170">
      <c r="A104" s="173" t="n"/>
      <c r="B104" s="92" t="inlineStr">
        <is>
          <t>羽衣甘蓝</t>
        </is>
      </c>
      <c r="C104" s="92">
        <f>VLOOKUP(B104,原材料价格表!$B$2:$J$242,9,)</f>
        <v/>
      </c>
      <c r="D104" s="92">
        <f>VLOOKUP(B104,原材料价格表!$B$2:$G$436,2,0)</f>
        <v/>
      </c>
      <c r="E104" s="92">
        <f>VLOOKUP(B104,原材料价格表!$B$2:$G$436,3,0)</f>
        <v/>
      </c>
      <c r="F104" s="122">
        <f>VLOOKUP(B104,原材料价格表!$B$2:$G$436,6,0)</f>
        <v/>
      </c>
      <c r="G104" s="92">
        <f>VLOOKUP(B104,原材料价格表!$B$2:$G$436,5,0)</f>
        <v/>
      </c>
      <c r="H104" s="123" t="n">
        <v>1</v>
      </c>
      <c r="I104" s="124">
        <f>F104/G104/H104</f>
        <v/>
      </c>
      <c r="J104" s="92" t="n">
        <v>40</v>
      </c>
      <c r="K104" s="124">
        <f>I104*J104</f>
        <v/>
      </c>
      <c r="L104" s="145" t="n"/>
    </row>
    <row r="105" hidden="1" ht="18" customHeight="1" s="170">
      <c r="A105" s="174" t="n"/>
      <c r="B105" s="95" t="inlineStr">
        <is>
          <t>售价</t>
        </is>
      </c>
      <c r="C105" s="92" t="n"/>
      <c r="D105" s="175" t="n">
        <v>48</v>
      </c>
      <c r="E105" s="95" t="inlineStr">
        <is>
          <t>售卖份量/g</t>
        </is>
      </c>
      <c r="F105" s="125">
        <f>SUM(J98:J104)</f>
        <v/>
      </c>
      <c r="G105" s="93" t="inlineStr">
        <is>
          <t>总成本（元）</t>
        </is>
      </c>
      <c r="H105" s="176">
        <f>SUM(K98:K104)</f>
        <v/>
      </c>
      <c r="I105" s="127" t="inlineStr">
        <is>
          <t>毛利/元</t>
        </is>
      </c>
      <c r="J105" s="127">
        <f>D105-H105</f>
        <v/>
      </c>
      <c r="K105" s="127" t="inlineStr">
        <is>
          <t>毛利率</t>
        </is>
      </c>
      <c r="L105" s="145">
        <f>J105/D105</f>
        <v/>
      </c>
    </row>
    <row r="106" ht="15.6" customHeight="1" s="170">
      <c r="A106" s="152" t="inlineStr">
        <is>
          <t>香茅酱（半成品）</t>
        </is>
      </c>
      <c r="B106" s="153" t="inlineStr">
        <is>
          <t>小米辣</t>
        </is>
      </c>
      <c r="C106" s="82">
        <f>VLOOKUP(B106,原材料价格表!$B$2:$J$242,9,)</f>
        <v/>
      </c>
      <c r="D106" s="153">
        <f>VLOOKUP(B106,原材料价格表!$B$2:$G$436,2,0)</f>
        <v/>
      </c>
      <c r="E106" s="153">
        <f>VLOOKUP(B106,原材料价格表!$B$2:$G$436,3,0)</f>
        <v/>
      </c>
      <c r="F106" s="157">
        <f>VLOOKUP(B106,原材料价格表!$B$2:$G$436,6,0)</f>
        <v/>
      </c>
      <c r="G106" s="153">
        <f>VLOOKUP(B106,原材料价格表!$B$2:$G$436,5,0)</f>
        <v/>
      </c>
      <c r="H106" s="158" t="n">
        <v>0.95</v>
      </c>
      <c r="I106" s="161">
        <f>F106/G106/H106</f>
        <v/>
      </c>
      <c r="J106" s="153" t="n">
        <v>80</v>
      </c>
      <c r="K106" s="161">
        <f>I106*J106</f>
        <v/>
      </c>
      <c r="L106" s="153" t="n"/>
    </row>
    <row r="107" ht="15.6" customHeight="1" s="170">
      <c r="A107" s="173" t="n"/>
      <c r="B107" s="153" t="inlineStr">
        <is>
          <t>香茅</t>
        </is>
      </c>
      <c r="C107" s="82">
        <f>VLOOKUP(B107,原材料价格表!$B$2:$J$242,9,)</f>
        <v/>
      </c>
      <c r="D107" s="153">
        <f>VLOOKUP(B107,原材料价格表!$B$2:$G$436,2,0)</f>
        <v/>
      </c>
      <c r="E107" s="153">
        <f>VLOOKUP(B107,原材料价格表!$B$2:$G$436,3,0)</f>
        <v/>
      </c>
      <c r="F107" s="157">
        <f>VLOOKUP(B107,原材料价格表!$B$2:$G$436,6,0)</f>
        <v/>
      </c>
      <c r="G107" s="153">
        <f>VLOOKUP(B107,原材料价格表!$B$2:$G$436,5,0)</f>
        <v/>
      </c>
      <c r="H107" s="158" t="n">
        <v>0.9</v>
      </c>
      <c r="I107" s="161">
        <f>F107/G107/H107</f>
        <v/>
      </c>
      <c r="J107" s="153" t="n">
        <v>100</v>
      </c>
      <c r="K107" s="161">
        <f>I107*J107</f>
        <v/>
      </c>
      <c r="L107" s="153" t="n"/>
    </row>
    <row r="108" ht="15.6" customHeight="1" s="170">
      <c r="A108" s="173" t="n"/>
      <c r="B108" s="153" t="inlineStr">
        <is>
          <t>大蒜</t>
        </is>
      </c>
      <c r="C108" s="82">
        <f>VLOOKUP(B108,原材料价格表!$B$2:$J$242,9,)</f>
        <v/>
      </c>
      <c r="D108" s="153">
        <f>VLOOKUP(B108,原材料价格表!$B$2:$G$436,2,0)</f>
        <v/>
      </c>
      <c r="E108" s="153">
        <f>VLOOKUP(B108,原材料价格表!$B$2:$G$436,3,0)</f>
        <v/>
      </c>
      <c r="F108" s="157">
        <f>VLOOKUP(B108,原材料价格表!$B$2:$G$436,6,0)</f>
        <v/>
      </c>
      <c r="G108" s="153">
        <f>VLOOKUP(B108,原材料价格表!$B$2:$G$436,5,0)</f>
        <v/>
      </c>
      <c r="H108" s="158" t="n">
        <v>1</v>
      </c>
      <c r="I108" s="161">
        <f>F108/G108/H108</f>
        <v/>
      </c>
      <c r="J108" s="153" t="n">
        <v>70</v>
      </c>
      <c r="K108" s="161">
        <f>I108*J108</f>
        <v/>
      </c>
      <c r="L108" s="153" t="n"/>
    </row>
    <row r="109" ht="15.6" customHeight="1" s="170">
      <c r="A109" s="173" t="n"/>
      <c r="B109" s="153" t="inlineStr">
        <is>
          <t>盐</t>
        </is>
      </c>
      <c r="C109" s="82">
        <f>VLOOKUP(B109,原材料价格表!$B$2:$J$242,9,)</f>
        <v/>
      </c>
      <c r="D109" s="153">
        <f>VLOOKUP(B109,原材料价格表!$B$2:$G$436,2,0)</f>
        <v/>
      </c>
      <c r="E109" s="153">
        <f>VLOOKUP(B109,原材料价格表!$B$2:$G$436,3,0)</f>
        <v/>
      </c>
      <c r="F109" s="157">
        <f>VLOOKUP(B109,原材料价格表!$B$2:$G$436,6,0)</f>
        <v/>
      </c>
      <c r="G109" s="153">
        <f>VLOOKUP(B109,原材料价格表!$B$2:$G$436,5,0)</f>
        <v/>
      </c>
      <c r="H109" s="158" t="n">
        <v>1</v>
      </c>
      <c r="I109" s="161">
        <f>F109/G109/H109</f>
        <v/>
      </c>
      <c r="J109" s="153" t="n">
        <v>2</v>
      </c>
      <c r="K109" s="161">
        <f>I109*J109</f>
        <v/>
      </c>
      <c r="L109" s="153" t="n"/>
    </row>
    <row r="110" ht="15.6" customHeight="1" s="170">
      <c r="A110" s="173" t="n"/>
      <c r="B110" s="153" t="inlineStr">
        <is>
          <t>鸡精</t>
        </is>
      </c>
      <c r="C110" s="82">
        <f>VLOOKUP(B110,原材料价格表!$B$2:$J$242,9,)</f>
        <v/>
      </c>
      <c r="D110" s="153">
        <f>VLOOKUP(B110,原材料价格表!$B$2:$G$436,2,0)</f>
        <v/>
      </c>
      <c r="E110" s="153">
        <f>VLOOKUP(B110,原材料价格表!$B$2:$G$436,3,0)</f>
        <v/>
      </c>
      <c r="F110" s="157">
        <f>VLOOKUP(B110,原材料价格表!$B$2:$G$436,6,0)</f>
        <v/>
      </c>
      <c r="G110" s="153">
        <f>VLOOKUP(B110,原材料价格表!$B$2:$G$436,5,0)</f>
        <v/>
      </c>
      <c r="H110" s="158" t="n">
        <v>1</v>
      </c>
      <c r="I110" s="161">
        <f>F110/G110/H110</f>
        <v/>
      </c>
      <c r="J110" s="153" t="n">
        <v>10</v>
      </c>
      <c r="K110" s="161">
        <f>I110*J110</f>
        <v/>
      </c>
      <c r="L110" s="153" t="n"/>
    </row>
    <row r="111" ht="15.6" customHeight="1" s="170">
      <c r="A111" s="173" t="n"/>
      <c r="B111" s="153" t="inlineStr">
        <is>
          <t>味精</t>
        </is>
      </c>
      <c r="C111" s="82">
        <f>VLOOKUP(B111,原材料价格表!$B$2:$J$242,9,)</f>
        <v/>
      </c>
      <c r="D111" s="153">
        <f>VLOOKUP(B111,原材料价格表!$B$2:$G$436,2,0)</f>
        <v/>
      </c>
      <c r="E111" s="153">
        <f>VLOOKUP(B111,原材料价格表!$B$2:$G$436,3,0)</f>
        <v/>
      </c>
      <c r="F111" s="157">
        <f>VLOOKUP(B111,原材料价格表!$B$2:$G$436,6,0)</f>
        <v/>
      </c>
      <c r="G111" s="153">
        <f>VLOOKUP(B111,原材料价格表!$B$2:$G$436,5,0)</f>
        <v/>
      </c>
      <c r="H111" s="158" t="n">
        <v>1</v>
      </c>
      <c r="I111" s="161">
        <f>F111/G111/H111</f>
        <v/>
      </c>
      <c r="J111" s="153" t="n">
        <v>8</v>
      </c>
      <c r="K111" s="161">
        <f>I111*J111</f>
        <v/>
      </c>
      <c r="L111" s="153" t="n"/>
    </row>
    <row r="112" ht="15.6" customHeight="1" s="170">
      <c r="A112" s="173" t="n"/>
      <c r="B112" s="153" t="inlineStr">
        <is>
          <t>生抽</t>
        </is>
      </c>
      <c r="C112" s="82">
        <f>VLOOKUP(B112,原材料价格表!$B$2:$J$242,9,)</f>
        <v/>
      </c>
      <c r="D112" s="153">
        <f>VLOOKUP(B112,原材料价格表!$B$2:$G$436,2,0)</f>
        <v/>
      </c>
      <c r="E112" s="153">
        <f>VLOOKUP(B112,原材料价格表!$B$2:$G$436,3,0)</f>
        <v/>
      </c>
      <c r="F112" s="157">
        <f>VLOOKUP(B112,原材料价格表!$B$2:$G$436,6,0)</f>
        <v/>
      </c>
      <c r="G112" s="153">
        <f>VLOOKUP(B112,原材料价格表!$B$2:$G$436,5,0)</f>
        <v/>
      </c>
      <c r="H112" s="158" t="n">
        <v>1</v>
      </c>
      <c r="I112" s="161">
        <f>F112/G112/H112</f>
        <v/>
      </c>
      <c r="J112" s="153" t="n">
        <v>20</v>
      </c>
      <c r="K112" s="161">
        <f>I112*J112</f>
        <v/>
      </c>
      <c r="L112" s="153" t="n"/>
    </row>
    <row r="113" ht="17.6" customHeight="1" s="170">
      <c r="A113" s="173" t="n"/>
      <c r="B113" s="153" t="inlineStr">
        <is>
          <t>蚝油</t>
        </is>
      </c>
      <c r="C113" s="82">
        <f>VLOOKUP(B113,原材料价格表!$B$2:$J$242,9,)</f>
        <v/>
      </c>
      <c r="D113" s="153">
        <f>VLOOKUP(B113,原材料价格表!$B$2:$G$436,2,0)</f>
        <v/>
      </c>
      <c r="E113" s="153">
        <f>VLOOKUP(B113,原材料价格表!$B$2:$G$436,3,0)</f>
        <v/>
      </c>
      <c r="F113" s="157">
        <f>VLOOKUP(B113,原材料价格表!$B$2:$G$436,6,0)</f>
        <v/>
      </c>
      <c r="G113" s="153">
        <f>VLOOKUP(B113,原材料价格表!$B$2:$G$436,5,0)</f>
        <v/>
      </c>
      <c r="H113" s="158" t="n">
        <v>1</v>
      </c>
      <c r="I113" s="161">
        <f>F113/G113/H113</f>
        <v/>
      </c>
      <c r="J113" s="153" t="n">
        <v>20</v>
      </c>
      <c r="K113" s="161">
        <f>I113*J113</f>
        <v/>
      </c>
      <c r="L113" s="162" t="n"/>
    </row>
    <row r="114" ht="17.6" customHeight="1" s="170">
      <c r="A114" s="173" t="n"/>
      <c r="B114" s="153" t="inlineStr">
        <is>
          <t>草果粉</t>
        </is>
      </c>
      <c r="C114" s="82">
        <f>VLOOKUP(B114,原材料价格表!$B$2:$J$242,9,)</f>
        <v/>
      </c>
      <c r="D114" s="153">
        <f>VLOOKUP(B114,原材料价格表!$B$2:$G$436,2,0)</f>
        <v/>
      </c>
      <c r="E114" s="153">
        <f>VLOOKUP(B114,原材料价格表!$B$2:$G$436,3,0)</f>
        <v/>
      </c>
      <c r="F114" s="157">
        <f>VLOOKUP(B114,原材料价格表!$B$2:$G$436,6,0)</f>
        <v/>
      </c>
      <c r="G114" s="153">
        <f>VLOOKUP(B114,原材料价格表!$B$2:$G$436,5,0)</f>
        <v/>
      </c>
      <c r="H114" s="158" t="n">
        <v>1</v>
      </c>
      <c r="I114" s="161">
        <f>F114/G114/H114</f>
        <v/>
      </c>
      <c r="J114" s="153" t="n">
        <v>2</v>
      </c>
      <c r="K114" s="161">
        <f>I114*J114</f>
        <v/>
      </c>
      <c r="L114" s="162" t="n"/>
    </row>
    <row r="115" ht="17.6" customHeight="1" s="170">
      <c r="A115" s="173" t="n"/>
      <c r="B115" s="153" t="inlineStr">
        <is>
          <t>五香粉</t>
        </is>
      </c>
      <c r="C115" s="82">
        <f>VLOOKUP(B115,原材料价格表!$B$2:$J$242,9,)</f>
        <v/>
      </c>
      <c r="D115" s="153">
        <f>VLOOKUP(B115,原材料价格表!$B$2:$G$436,2,0)</f>
        <v/>
      </c>
      <c r="E115" s="153">
        <f>VLOOKUP(B115,原材料价格表!$B$2:$G$436,3,0)</f>
        <v/>
      </c>
      <c r="F115" s="157">
        <f>VLOOKUP(B115,原材料价格表!$B$2:$G$436,6,0)</f>
        <v/>
      </c>
      <c r="G115" s="153">
        <f>VLOOKUP(B115,原材料价格表!$B$2:$G$436,5,0)</f>
        <v/>
      </c>
      <c r="H115" s="158" t="n">
        <v>1</v>
      </c>
      <c r="I115" s="161">
        <f>F115/G115/H115</f>
        <v/>
      </c>
      <c r="J115" s="153" t="n">
        <v>2</v>
      </c>
      <c r="K115" s="161">
        <f>I115*J115</f>
        <v/>
      </c>
      <c r="L115" s="162" t="n"/>
    </row>
    <row r="116" ht="18" customHeight="1" s="170">
      <c r="A116" s="174" t="n"/>
      <c r="B116" s="154" t="inlineStr">
        <is>
          <t>售价</t>
        </is>
      </c>
      <c r="C116" s="82" t="n"/>
      <c r="D116" s="179" t="n"/>
      <c r="E116" s="154" t="inlineStr">
        <is>
          <t>售卖份量/g</t>
        </is>
      </c>
      <c r="F116" s="159">
        <f>SUM(J106:J115)</f>
        <v/>
      </c>
      <c r="G116" s="152" t="inlineStr">
        <is>
          <t>总成本（元）</t>
        </is>
      </c>
      <c r="H116" s="180">
        <f>SUM(K106:K115)</f>
        <v/>
      </c>
      <c r="I116" s="163" t="inlineStr">
        <is>
          <t>毛利/元</t>
        </is>
      </c>
      <c r="J116" s="163">
        <f>D116-H116</f>
        <v/>
      </c>
      <c r="K116" s="163" t="inlineStr">
        <is>
          <t>毛利率</t>
        </is>
      </c>
      <c r="L116" s="162">
        <f>J116/D116</f>
        <v/>
      </c>
    </row>
    <row r="117" hidden="1" ht="15.6" customHeight="1" s="170">
      <c r="A117" s="93" t="inlineStr">
        <is>
          <t>火烧云铜锅油焖鸡</t>
        </is>
      </c>
      <c r="B117" s="92" t="inlineStr">
        <is>
          <t>红油</t>
        </is>
      </c>
      <c r="C117" s="92">
        <f>VLOOKUP(B117,原材料价格表!$B$2:$J$242,9,)</f>
        <v/>
      </c>
      <c r="D117" s="92">
        <f>VLOOKUP(B117,原材料价格表!$B$2:$G$436,2,0)</f>
        <v/>
      </c>
      <c r="E117" s="92">
        <f>VLOOKUP(B117,原材料价格表!$B$2:$G$436,3,0)</f>
        <v/>
      </c>
      <c r="F117" s="122">
        <f>VLOOKUP(B117,原材料价格表!$B$2:$G$436,6,0)</f>
        <v/>
      </c>
      <c r="G117" s="92">
        <f>VLOOKUP(B117,原材料价格表!$B$2:$G$436,5,0)</f>
        <v/>
      </c>
      <c r="H117" s="123" t="n">
        <v>0.95</v>
      </c>
      <c r="I117" s="124">
        <f>F117/G117/H117</f>
        <v/>
      </c>
      <c r="J117" s="92" t="n">
        <v>100</v>
      </c>
      <c r="K117" s="124">
        <f>I117*J117</f>
        <v/>
      </c>
      <c r="L117" s="92" t="n"/>
    </row>
    <row r="118" hidden="1" ht="15.6" customHeight="1" s="170">
      <c r="A118" s="173" t="n"/>
      <c r="B118" s="92" t="inlineStr">
        <is>
          <t>番茄</t>
        </is>
      </c>
      <c r="C118" s="92">
        <f>VLOOKUP(B118,原材料价格表!$B$2:$J$242,9,)</f>
        <v/>
      </c>
      <c r="D118" s="92">
        <f>VLOOKUP(B118,原材料价格表!$B$2:$G$436,2,0)</f>
        <v/>
      </c>
      <c r="E118" s="92">
        <f>VLOOKUP(B118,原材料价格表!$B$2:$G$436,3,0)</f>
        <v/>
      </c>
      <c r="F118" s="122">
        <f>VLOOKUP(B118,原材料价格表!$B$2:$G$436,6,0)</f>
        <v/>
      </c>
      <c r="G118" s="92">
        <f>VLOOKUP(B118,原材料价格表!$B$2:$G$436,5,0)</f>
        <v/>
      </c>
      <c r="H118" s="123" t="n">
        <v>0.95</v>
      </c>
      <c r="I118" s="124">
        <f>F118/G118/H118</f>
        <v/>
      </c>
      <c r="J118" s="92" t="n">
        <v>150</v>
      </c>
      <c r="K118" s="124">
        <f>I118*J118</f>
        <v/>
      </c>
      <c r="L118" s="92" t="n"/>
    </row>
    <row r="119" hidden="1" ht="15.6" customHeight="1" s="170">
      <c r="A119" s="173" t="n"/>
      <c r="B119" s="156" t="inlineStr">
        <is>
          <t>香茅酱</t>
        </is>
      </c>
      <c r="C119" s="92">
        <f>VLOOKUP(B119,原材料价格表!$B$2:$J$242,9,)</f>
        <v/>
      </c>
      <c r="D119" s="92">
        <f>VLOOKUP(B119,原材料价格表!$B$2:$G$436,2,0)</f>
        <v/>
      </c>
      <c r="E119" s="92">
        <f>VLOOKUP(B119,原材料价格表!$B$2:$G$436,3,0)</f>
        <v/>
      </c>
      <c r="F119" s="122">
        <f>H116</f>
        <v/>
      </c>
      <c r="G119" s="92">
        <f>F116</f>
        <v/>
      </c>
      <c r="H119" s="123" t="n">
        <v>1</v>
      </c>
      <c r="I119" s="124">
        <f>F119/G119/H119</f>
        <v/>
      </c>
      <c r="J119" s="92" t="n">
        <v>150</v>
      </c>
      <c r="K119" s="124">
        <f>I119*J119</f>
        <v/>
      </c>
      <c r="L119" s="92" t="n"/>
    </row>
    <row r="120" hidden="1" ht="15.6" customHeight="1" s="170">
      <c r="A120" s="173" t="n"/>
      <c r="B120" s="92" t="inlineStr">
        <is>
          <t>土豆</t>
        </is>
      </c>
      <c r="C120" s="92">
        <f>VLOOKUP(B120,原材料价格表!$B$2:$J$242,9,)</f>
        <v/>
      </c>
      <c r="D120" s="92">
        <f>VLOOKUP(B120,原材料价格表!$B$2:$G$436,2,0)</f>
        <v/>
      </c>
      <c r="E120" s="92">
        <f>VLOOKUP(B120,原材料价格表!$B$2:$G$436,3,0)</f>
        <v/>
      </c>
      <c r="F120" s="122">
        <f>VLOOKUP(B120,原材料价格表!$B$2:$G$436,6,0)</f>
        <v/>
      </c>
      <c r="G120" s="92">
        <f>VLOOKUP(B120,原材料价格表!$B$2:$G$436,5,0)</f>
        <v/>
      </c>
      <c r="H120" s="123" t="n">
        <v>1</v>
      </c>
      <c r="I120" s="124">
        <f>F120/G120/H120</f>
        <v/>
      </c>
      <c r="J120" s="92" t="n">
        <v>600</v>
      </c>
      <c r="K120" s="124">
        <f>I120*J120</f>
        <v/>
      </c>
      <c r="L120" s="92" t="n"/>
    </row>
    <row r="121" hidden="1" ht="15.6" customHeight="1" s="170">
      <c r="A121" s="173" t="n"/>
      <c r="B121" s="92" t="inlineStr">
        <is>
          <t>去骨鸡腿肉</t>
        </is>
      </c>
      <c r="C121" s="92">
        <f>VLOOKUP(B121,原材料价格表!$B$2:$J$242,9,)</f>
        <v/>
      </c>
      <c r="D121" s="92">
        <f>VLOOKUP(B121,原材料价格表!$B$2:$G$436,2,0)</f>
        <v/>
      </c>
      <c r="E121" s="92">
        <f>VLOOKUP(B121,原材料价格表!$B$2:$G$436,3,0)</f>
        <v/>
      </c>
      <c r="F121" s="122">
        <f>VLOOKUP(B121,原材料价格表!$B$2:$G$436,6,0)</f>
        <v/>
      </c>
      <c r="G121" s="92">
        <f>VLOOKUP(B121,原材料价格表!$B$2:$G$436,5,0)</f>
        <v/>
      </c>
      <c r="H121" s="123" t="n">
        <v>0.95</v>
      </c>
      <c r="I121" s="124">
        <f>F121/G121/H121</f>
        <v/>
      </c>
      <c r="J121" s="92" t="n">
        <v>400</v>
      </c>
      <c r="K121" s="124">
        <f>I121*J121</f>
        <v/>
      </c>
      <c r="L121" s="92" t="n"/>
    </row>
    <row r="122" hidden="1" ht="15.6" customHeight="1" s="170">
      <c r="A122" s="173" t="n"/>
      <c r="B122" s="92" t="inlineStr">
        <is>
          <t>百香果原汁</t>
        </is>
      </c>
      <c r="C122" s="92">
        <f>VLOOKUP(B122,原材料价格表!$B$2:$J$242,9,)</f>
        <v/>
      </c>
      <c r="D122" s="92">
        <f>VLOOKUP(B122,原材料价格表!$B$2:$G$436,2,0)</f>
        <v/>
      </c>
      <c r="E122" s="92">
        <f>VLOOKUP(B122,原材料价格表!$B$2:$G$436,3,0)</f>
        <v/>
      </c>
      <c r="F122" s="122">
        <f>VLOOKUP(B122,原材料价格表!$B$2:$G$436,6,0)</f>
        <v/>
      </c>
      <c r="G122" s="92">
        <f>VLOOKUP(B122,原材料价格表!$B$2:$G$436,5,0)</f>
        <v/>
      </c>
      <c r="H122" s="123" t="n">
        <v>1</v>
      </c>
      <c r="I122" s="124">
        <f>F122/G122/H122</f>
        <v/>
      </c>
      <c r="J122" s="92" t="n">
        <v>35</v>
      </c>
      <c r="K122" s="124">
        <f>I122*J122</f>
        <v/>
      </c>
      <c r="L122" s="92" t="n"/>
    </row>
    <row r="123" hidden="1" ht="15.6" customHeight="1" s="170">
      <c r="A123" s="173" t="n"/>
      <c r="B123" s="92" t="inlineStr">
        <is>
          <t>大香菜</t>
        </is>
      </c>
      <c r="C123" s="92">
        <f>VLOOKUP(B123,原材料价格表!$B$2:$J$242,9,)</f>
        <v/>
      </c>
      <c r="D123" s="92">
        <f>VLOOKUP(B123,原材料价格表!$B$2:$G$436,2,0)</f>
        <v/>
      </c>
      <c r="E123" s="92">
        <f>VLOOKUP(B123,原材料价格表!$B$2:$G$436,3,0)</f>
        <v/>
      </c>
      <c r="F123" s="122">
        <f>VLOOKUP(B123,原材料价格表!$B$2:$G$436,6,0)</f>
        <v/>
      </c>
      <c r="G123" s="92">
        <f>VLOOKUP(B123,原材料价格表!$B$2:$G$436,5,0)</f>
        <v/>
      </c>
      <c r="H123" s="123" t="n">
        <v>1</v>
      </c>
      <c r="I123" s="124">
        <f>F123/G123/H123</f>
        <v/>
      </c>
      <c r="J123" s="92" t="n">
        <v>5</v>
      </c>
      <c r="K123" s="124">
        <f>I123*J123</f>
        <v/>
      </c>
      <c r="L123" s="92" t="n"/>
    </row>
    <row r="124" hidden="1" ht="17.6" customHeight="1" s="170">
      <c r="A124" s="173" t="n"/>
      <c r="B124" s="92" t="inlineStr">
        <is>
          <t>大葱</t>
        </is>
      </c>
      <c r="C124" s="92">
        <f>VLOOKUP(B124,原材料价格表!$B$2:$J$242,9,)</f>
        <v/>
      </c>
      <c r="D124" s="92">
        <f>VLOOKUP(B124,原材料价格表!$B$2:$G$436,2,0)</f>
        <v/>
      </c>
      <c r="E124" s="92">
        <f>VLOOKUP(B124,原材料价格表!$B$2:$G$436,3,0)</f>
        <v/>
      </c>
      <c r="F124" s="122">
        <f>VLOOKUP(B124,原材料价格表!$B$2:$G$436,6,0)</f>
        <v/>
      </c>
      <c r="G124" s="92">
        <f>VLOOKUP(B124,原材料价格表!$B$2:$G$436,5,0)</f>
        <v/>
      </c>
      <c r="H124" s="123" t="n">
        <v>1</v>
      </c>
      <c r="I124" s="124">
        <f>F124/G124/H124</f>
        <v/>
      </c>
      <c r="J124" s="92" t="n">
        <v>10</v>
      </c>
      <c r="K124" s="124">
        <f>I124*J124</f>
        <v/>
      </c>
      <c r="L124" s="145" t="n"/>
    </row>
    <row r="125" hidden="1" ht="18" customHeight="1" s="170">
      <c r="A125" s="174" t="n"/>
      <c r="B125" s="95" t="inlineStr">
        <is>
          <t>售价</t>
        </is>
      </c>
      <c r="C125" s="92" t="n"/>
      <c r="D125" s="175" t="n">
        <v>68</v>
      </c>
      <c r="E125" s="95" t="inlineStr">
        <is>
          <t>售卖份量/g</t>
        </is>
      </c>
      <c r="F125" s="125">
        <f>SUM(J117:J124)</f>
        <v/>
      </c>
      <c r="G125" s="93" t="inlineStr">
        <is>
          <t>总成本（元）</t>
        </is>
      </c>
      <c r="H125" s="176">
        <f>SUM(K117:K124)</f>
        <v/>
      </c>
      <c r="I125" s="127" t="inlineStr">
        <is>
          <t>毛利/元</t>
        </is>
      </c>
      <c r="J125" s="127">
        <f>D125-H125</f>
        <v/>
      </c>
      <c r="K125" s="127" t="inlineStr">
        <is>
          <t>毛利率</t>
        </is>
      </c>
      <c r="L125" s="145">
        <f>J125/D125</f>
        <v/>
      </c>
    </row>
    <row r="126" hidden="1" ht="15.6" customHeight="1" s="170">
      <c r="A126" s="93" t="inlineStr">
        <is>
          <t>息烽虎皮猪蹄</t>
        </is>
      </c>
      <c r="B126" s="92" t="inlineStr">
        <is>
          <t>猪蹄</t>
        </is>
      </c>
      <c r="C126" s="92">
        <f>VLOOKUP(B126,原材料价格表!$B$2:$J$242,9,)</f>
        <v/>
      </c>
      <c r="D126" s="92">
        <f>VLOOKUP(B126,原材料价格表!$B$2:$G$436,2,0)</f>
        <v/>
      </c>
      <c r="E126" s="92">
        <f>VLOOKUP(B126,原材料价格表!$B$2:$G$436,3,0)</f>
        <v/>
      </c>
      <c r="F126" s="122">
        <f>VLOOKUP(B126,原材料价格表!$B$2:$G$436,6,0)</f>
        <v/>
      </c>
      <c r="G126" s="92">
        <f>VLOOKUP(B126,原材料价格表!$B$2:$G$436,5,0)</f>
        <v/>
      </c>
      <c r="H126" s="123" t="n">
        <v>0.9</v>
      </c>
      <c r="I126" s="124">
        <f>F126/G126/H126</f>
        <v/>
      </c>
      <c r="J126" s="92" t="n">
        <v>400</v>
      </c>
      <c r="K126" s="124">
        <f>I126*J126</f>
        <v/>
      </c>
      <c r="L126" s="92" t="n"/>
    </row>
    <row r="127" hidden="1" ht="15.6" customHeight="1" s="170">
      <c r="A127" s="173" t="n"/>
      <c r="B127" s="92" t="inlineStr">
        <is>
          <t>郫县豆瓣</t>
        </is>
      </c>
      <c r="C127" s="92">
        <f>VLOOKUP(B127,原材料价格表!$B$2:$J$242,9,)</f>
        <v/>
      </c>
      <c r="D127" s="92">
        <f>VLOOKUP(B127,原材料价格表!$B$2:$G$436,2,0)</f>
        <v/>
      </c>
      <c r="E127" s="92">
        <f>VLOOKUP(B127,原材料价格表!$B$2:$G$436,3,0)</f>
        <v/>
      </c>
      <c r="F127" s="122">
        <f>VLOOKUP(B127,原材料价格表!$B$2:$G$436,6,0)</f>
        <v/>
      </c>
      <c r="G127" s="92">
        <f>VLOOKUP(B127,原材料价格表!$B$2:$G$436,5,0)</f>
        <v/>
      </c>
      <c r="H127" s="123" t="n">
        <v>1</v>
      </c>
      <c r="I127" s="124">
        <f>F127/G127/H127</f>
        <v/>
      </c>
      <c r="J127" s="92" t="n">
        <v>15</v>
      </c>
      <c r="K127" s="124">
        <f>I127*J127</f>
        <v/>
      </c>
      <c r="L127" s="92" t="n"/>
    </row>
    <row r="128" hidden="1" ht="15.6" customHeight="1" s="170">
      <c r="A128" s="173" t="n"/>
      <c r="B128" s="92" t="inlineStr">
        <is>
          <t>糍粑辣椒</t>
        </is>
      </c>
      <c r="C128" s="92">
        <f>VLOOKUP(B128,原材料价格表!$B$2:$J$242,9,)</f>
        <v/>
      </c>
      <c r="D128" s="92">
        <f>VLOOKUP(B128,原材料价格表!$B$2:$G$436,2,0)</f>
        <v/>
      </c>
      <c r="E128" s="92">
        <f>VLOOKUP(B128,原材料价格表!$B$2:$G$436,3,0)</f>
        <v/>
      </c>
      <c r="F128" s="122" t="n">
        <v>15</v>
      </c>
      <c r="G128" s="92">
        <f>VLOOKUP(B128,原材料价格表!$B$2:$G$436,5,0)</f>
        <v/>
      </c>
      <c r="H128" s="123" t="n">
        <v>1</v>
      </c>
      <c r="I128" s="124">
        <f>F128/G128/H128</f>
        <v/>
      </c>
      <c r="J128" s="92" t="n">
        <v>150</v>
      </c>
      <c r="K128" s="124">
        <f>I128*J128</f>
        <v/>
      </c>
      <c r="L128" s="92" t="n"/>
    </row>
    <row r="129" hidden="1" ht="15.6" customHeight="1" s="170">
      <c r="A129" s="173" t="n"/>
      <c r="B129" s="92" t="inlineStr">
        <is>
          <t>姜</t>
        </is>
      </c>
      <c r="C129" s="92">
        <f>VLOOKUP(B129,原材料价格表!$B$2:$J$242,9,)</f>
        <v/>
      </c>
      <c r="D129" s="92">
        <f>VLOOKUP(B129,原材料价格表!$B$2:$G$436,2,0)</f>
        <v/>
      </c>
      <c r="E129" s="92">
        <f>VLOOKUP(B129,原材料价格表!$B$2:$G$436,3,0)</f>
        <v/>
      </c>
      <c r="F129" s="122">
        <f>VLOOKUP(B129,原材料价格表!$B$2:$G$436,6,0)</f>
        <v/>
      </c>
      <c r="G129" s="92">
        <f>VLOOKUP(B129,原材料价格表!$B$2:$G$436,5,0)</f>
        <v/>
      </c>
      <c r="H129" s="123" t="n">
        <v>1</v>
      </c>
      <c r="I129" s="124">
        <f>F129/G129/H129</f>
        <v/>
      </c>
      <c r="J129" s="92" t="n">
        <v>20</v>
      </c>
      <c r="K129" s="124">
        <f>I129*J129</f>
        <v/>
      </c>
      <c r="L129" s="92" t="n"/>
    </row>
    <row r="130" hidden="1" ht="15.6" customHeight="1" s="170">
      <c r="A130" s="173" t="n"/>
      <c r="B130" s="92" t="inlineStr">
        <is>
          <t>大蒜</t>
        </is>
      </c>
      <c r="C130" s="92">
        <f>VLOOKUP(B130,原材料价格表!$B$2:$J$242,9,)</f>
        <v/>
      </c>
      <c r="D130" s="92">
        <f>VLOOKUP(B130,原材料价格表!$B$2:$G$436,2,0)</f>
        <v/>
      </c>
      <c r="E130" s="92">
        <f>VLOOKUP(B130,原材料价格表!$B$2:$G$436,3,0)</f>
        <v/>
      </c>
      <c r="F130" s="122">
        <f>VLOOKUP(B130,原材料价格表!$B$2:$G$436,6,0)</f>
        <v/>
      </c>
      <c r="G130" s="92">
        <f>VLOOKUP(B130,原材料价格表!$B$2:$G$436,5,0)</f>
        <v/>
      </c>
      <c r="H130" s="123" t="n">
        <v>1</v>
      </c>
      <c r="I130" s="124">
        <f>F130/G130/H130</f>
        <v/>
      </c>
      <c r="J130" s="92" t="n">
        <v>30</v>
      </c>
      <c r="K130" s="124">
        <f>I130*J130</f>
        <v/>
      </c>
      <c r="L130" s="92" t="n"/>
    </row>
    <row r="131" hidden="1" ht="15.6" customHeight="1" s="170">
      <c r="A131" s="173" t="n"/>
      <c r="B131" s="92" t="inlineStr">
        <is>
          <t>蒜苗</t>
        </is>
      </c>
      <c r="C131" s="92">
        <f>VLOOKUP(B131,原材料价格表!$B$2:$J$242,9,)</f>
        <v/>
      </c>
      <c r="D131" s="92">
        <f>VLOOKUP(B131,原材料价格表!$B$2:$G$436,2,0)</f>
        <v/>
      </c>
      <c r="E131" s="92">
        <f>VLOOKUP(B131,原材料价格表!$B$2:$G$436,3,0)</f>
        <v/>
      </c>
      <c r="F131" s="122">
        <f>VLOOKUP(B131,原材料价格表!$B$2:$G$436,6,0)</f>
        <v/>
      </c>
      <c r="G131" s="92">
        <f>VLOOKUP(B131,原材料价格表!$B$2:$G$436,5,0)</f>
        <v/>
      </c>
      <c r="H131" s="123" t="n">
        <v>1</v>
      </c>
      <c r="I131" s="124">
        <f>F131/G131/H131</f>
        <v/>
      </c>
      <c r="J131" s="92" t="n">
        <v>20</v>
      </c>
      <c r="K131" s="124">
        <f>I131*J131</f>
        <v/>
      </c>
      <c r="L131" s="92" t="n"/>
    </row>
    <row r="132" hidden="1" ht="15.6" customHeight="1" s="170">
      <c r="A132" s="173" t="n"/>
      <c r="B132" s="92" t="inlineStr">
        <is>
          <t>菜籽油</t>
        </is>
      </c>
      <c r="C132" s="92">
        <f>VLOOKUP(B132,原材料价格表!$B$2:$J$242,9,)</f>
        <v/>
      </c>
      <c r="D132" s="92">
        <f>VLOOKUP(B132,原材料价格表!$B$2:$G$436,2,0)</f>
        <v/>
      </c>
      <c r="E132" s="92">
        <f>VLOOKUP(B132,原材料价格表!$B$2:$G$436,3,0)</f>
        <v/>
      </c>
      <c r="F132" s="122">
        <f>VLOOKUP(B132,原材料价格表!$B$2:$G$436,6,0)</f>
        <v/>
      </c>
      <c r="G132" s="92">
        <f>VLOOKUP(B132,原材料价格表!$B$2:$G$436,5,0)</f>
        <v/>
      </c>
      <c r="H132" s="123" t="n">
        <v>1</v>
      </c>
      <c r="I132" s="124">
        <f>F132/G132/H132</f>
        <v/>
      </c>
      <c r="J132" s="92" t="n">
        <v>200</v>
      </c>
      <c r="K132" s="124">
        <f>I132*J132</f>
        <v/>
      </c>
      <c r="L132" s="92" t="n"/>
    </row>
    <row r="133" hidden="1" ht="15.6" customHeight="1" s="170">
      <c r="A133" s="173" t="n"/>
      <c r="B133" s="92" t="inlineStr">
        <is>
          <t>啤酒</t>
        </is>
      </c>
      <c r="C133" s="92">
        <f>VLOOKUP(B133,原材料价格表!$B$2:$J$242,9,)</f>
        <v/>
      </c>
      <c r="D133" s="92">
        <f>VLOOKUP(B133,原材料价格表!$B$2:$G$436,2,0)</f>
        <v/>
      </c>
      <c r="E133" s="92">
        <f>VLOOKUP(B133,原材料价格表!$B$2:$G$436,3,0)</f>
        <v/>
      </c>
      <c r="F133" s="122">
        <f>VLOOKUP(B133,原材料价格表!$B$2:$G$436,6,0)</f>
        <v/>
      </c>
      <c r="G133" s="92">
        <f>VLOOKUP(B133,原材料价格表!$B$2:$G$436,5,0)</f>
        <v/>
      </c>
      <c r="H133" s="123" t="n">
        <v>1</v>
      </c>
      <c r="I133" s="124">
        <f>F133/G133/H133</f>
        <v/>
      </c>
      <c r="J133" s="92" t="n">
        <v>200</v>
      </c>
      <c r="K133" s="124">
        <f>I133*J133</f>
        <v/>
      </c>
      <c r="L133" s="92" t="n"/>
    </row>
    <row r="134" hidden="1" ht="17.6" customHeight="1" s="170">
      <c r="A134" s="173" t="n"/>
      <c r="B134" s="92" t="inlineStr">
        <is>
          <t>五香粉</t>
        </is>
      </c>
      <c r="C134" s="92">
        <f>VLOOKUP(B134,原材料价格表!$B$2:$J$242,9,)</f>
        <v/>
      </c>
      <c r="D134" s="92">
        <f>VLOOKUP(B134,原材料价格表!$B$2:$G$436,2,0)</f>
        <v/>
      </c>
      <c r="E134" s="92">
        <f>VLOOKUP(B134,原材料价格表!$B$2:$G$436,3,0)</f>
        <v/>
      </c>
      <c r="F134" s="122">
        <f>VLOOKUP(B134,原材料价格表!$B$2:$G$436,6,0)</f>
        <v/>
      </c>
      <c r="G134" s="92">
        <f>VLOOKUP(B134,原材料价格表!$B$2:$G$436,5,0)</f>
        <v/>
      </c>
      <c r="H134" s="123" t="n">
        <v>1</v>
      </c>
      <c r="I134" s="124">
        <f>F134/G134/H134</f>
        <v/>
      </c>
      <c r="J134" s="92" t="n">
        <v>1</v>
      </c>
      <c r="K134" s="124">
        <f>I134*J134</f>
        <v/>
      </c>
      <c r="L134" s="145" t="n"/>
    </row>
    <row r="135" hidden="1" ht="18" customHeight="1" s="170">
      <c r="A135" s="174" t="n"/>
      <c r="B135" s="95" t="inlineStr">
        <is>
          <t>售价</t>
        </is>
      </c>
      <c r="C135" s="92" t="n"/>
      <c r="D135" s="175" t="n">
        <v>58</v>
      </c>
      <c r="E135" s="95" t="inlineStr">
        <is>
          <t>售卖份量/g</t>
        </is>
      </c>
      <c r="F135" s="125">
        <f>SUM(J126:J134)</f>
        <v/>
      </c>
      <c r="G135" s="93" t="inlineStr">
        <is>
          <t>总成本（元）</t>
        </is>
      </c>
      <c r="H135" s="176">
        <f>SUM(K126:K134)</f>
        <v/>
      </c>
      <c r="I135" s="127" t="inlineStr">
        <is>
          <t>毛利/元</t>
        </is>
      </c>
      <c r="J135" s="127">
        <f>D135-H135</f>
        <v/>
      </c>
      <c r="K135" s="127" t="inlineStr">
        <is>
          <t>毛利率</t>
        </is>
      </c>
      <c r="L135" s="145">
        <f>J135/D135</f>
        <v/>
      </c>
    </row>
    <row r="136" ht="15.6" customHeight="1" s="170">
      <c r="A136" s="152" t="inlineStr">
        <is>
          <t>干巴菌酱（半成品）</t>
        </is>
      </c>
      <c r="B136" s="153" t="inlineStr">
        <is>
          <t>鸡油</t>
        </is>
      </c>
      <c r="C136" s="82">
        <f>VLOOKUP(B136,原材料价格表!$B$2:$J$242,9,)</f>
        <v/>
      </c>
      <c r="D136" s="153">
        <f>VLOOKUP(B136,原材料价格表!$B$2:$G$436,2,0)</f>
        <v/>
      </c>
      <c r="E136" s="153">
        <f>VLOOKUP(B136,原材料价格表!$B$2:$G$436,3,0)</f>
        <v/>
      </c>
      <c r="F136" s="157">
        <f>VLOOKUP(B136,原材料价格表!$B$2:$G$436,6,0)</f>
        <v/>
      </c>
      <c r="G136" s="153">
        <f>VLOOKUP(B136,原材料价格表!$B$2:$G$436,5,0)</f>
        <v/>
      </c>
      <c r="H136" s="158" t="n">
        <v>1</v>
      </c>
      <c r="I136" s="161">
        <f>F136/G136/H136</f>
        <v/>
      </c>
      <c r="J136" s="153" t="n">
        <v>200</v>
      </c>
      <c r="K136" s="161">
        <f>I136*J136</f>
        <v/>
      </c>
      <c r="L136" s="153" t="n"/>
    </row>
    <row r="137" ht="15.6" customHeight="1" s="170">
      <c r="A137" s="173" t="n"/>
      <c r="B137" s="153" t="inlineStr">
        <is>
          <t>干巴菌</t>
        </is>
      </c>
      <c r="C137" s="82">
        <f>VLOOKUP(B137,原材料价格表!$B$2:$J$242,9,)</f>
        <v/>
      </c>
      <c r="D137" s="153">
        <f>VLOOKUP(B137,原材料价格表!$B$2:$G$436,2,0)</f>
        <v/>
      </c>
      <c r="E137" s="153">
        <f>VLOOKUP(B137,原材料价格表!$B$2:$G$436,3,0)</f>
        <v/>
      </c>
      <c r="F137" s="157">
        <f>VLOOKUP(B137,原材料价格表!$B$2:$G$436,6,0)</f>
        <v/>
      </c>
      <c r="G137" s="153">
        <f>VLOOKUP(B137,原材料价格表!$B$2:$G$436,5,0)</f>
        <v/>
      </c>
      <c r="H137" s="158" t="n">
        <v>1</v>
      </c>
      <c r="I137" s="161">
        <f>F137/G137/H137</f>
        <v/>
      </c>
      <c r="J137" s="153" t="n">
        <v>50</v>
      </c>
      <c r="K137" s="161">
        <f>I137*J137</f>
        <v/>
      </c>
      <c r="L137" s="153" t="n"/>
    </row>
    <row r="138" ht="15.6" customHeight="1" s="170">
      <c r="A138" s="173" t="n"/>
      <c r="B138" s="153" t="inlineStr">
        <is>
          <t>大蒜</t>
        </is>
      </c>
      <c r="C138" s="82">
        <f>VLOOKUP(B138,原材料价格表!$B$2:$J$242,9,)</f>
        <v/>
      </c>
      <c r="D138" s="153">
        <f>VLOOKUP(B138,原材料价格表!$B$2:$G$436,2,0)</f>
        <v/>
      </c>
      <c r="E138" s="153">
        <f>VLOOKUP(B138,原材料价格表!$B$2:$G$436,3,0)</f>
        <v/>
      </c>
      <c r="F138" s="157">
        <f>VLOOKUP(B138,原材料价格表!$B$2:$G$436,6,0)</f>
        <v/>
      </c>
      <c r="G138" s="153">
        <f>VLOOKUP(B138,原材料价格表!$B$2:$G$436,5,0)</f>
        <v/>
      </c>
      <c r="H138" s="158" t="n">
        <v>1</v>
      </c>
      <c r="I138" s="161">
        <f>F138/G138/H138</f>
        <v/>
      </c>
      <c r="J138" s="153" t="n">
        <v>30</v>
      </c>
      <c r="K138" s="161">
        <f>I138*J138</f>
        <v/>
      </c>
      <c r="L138" s="153" t="n"/>
    </row>
    <row r="139" ht="15.6" customHeight="1" s="170">
      <c r="A139" s="173" t="n"/>
      <c r="B139" s="153" t="inlineStr">
        <is>
          <t>洋葱</t>
        </is>
      </c>
      <c r="C139" s="82">
        <f>VLOOKUP(B139,原材料价格表!$B$2:$J$242,9,)</f>
        <v/>
      </c>
      <c r="D139" s="153">
        <f>VLOOKUP(B139,原材料价格表!$B$2:$G$436,2,0)</f>
        <v/>
      </c>
      <c r="E139" s="153">
        <f>VLOOKUP(B139,原材料价格表!$B$2:$G$436,3,0)</f>
        <v/>
      </c>
      <c r="F139" s="157">
        <f>VLOOKUP(B139,原材料价格表!$B$2:$G$436,6,0)</f>
        <v/>
      </c>
      <c r="G139" s="153">
        <f>VLOOKUP(B139,原材料价格表!$B$2:$G$436,5,0)</f>
        <v/>
      </c>
      <c r="H139" s="158" t="n">
        <v>0.95</v>
      </c>
      <c r="I139" s="161">
        <f>F139/G139/H139</f>
        <v/>
      </c>
      <c r="J139" s="153" t="n">
        <v>50</v>
      </c>
      <c r="K139" s="161">
        <f>I139*J139</f>
        <v/>
      </c>
      <c r="L139" s="153" t="n"/>
    </row>
    <row r="140" ht="18" customHeight="1" s="170">
      <c r="A140" s="174" t="n"/>
      <c r="B140" s="154" t="inlineStr">
        <is>
          <t>售价</t>
        </is>
      </c>
      <c r="C140" s="82" t="n"/>
      <c r="D140" s="179" t="n"/>
      <c r="E140" s="154" t="inlineStr">
        <is>
          <t>售卖份量/g</t>
        </is>
      </c>
      <c r="F140" s="159">
        <f>SUM(J136:J139)</f>
        <v/>
      </c>
      <c r="G140" s="152" t="inlineStr">
        <is>
          <t>总成本（元）</t>
        </is>
      </c>
      <c r="H140" s="180">
        <f>SUM(K136:K139)</f>
        <v/>
      </c>
      <c r="I140" s="163" t="inlineStr">
        <is>
          <t>毛利/元</t>
        </is>
      </c>
      <c r="J140" s="163">
        <f>D140-H140</f>
        <v/>
      </c>
      <c r="K140" s="163" t="inlineStr">
        <is>
          <t>毛利率</t>
        </is>
      </c>
      <c r="L140" s="162">
        <f>J140/D140</f>
        <v/>
      </c>
    </row>
    <row r="141" hidden="1" ht="15.6" customHeight="1" s="170">
      <c r="A141" s="93" t="inlineStr">
        <is>
          <t>干巴菌炒饭</t>
        </is>
      </c>
      <c r="B141" s="156" t="inlineStr">
        <is>
          <t>干巴菌酱</t>
        </is>
      </c>
      <c r="C141" s="92">
        <f>VLOOKUP(B141,原材料价格表!$B$2:$J$242,9,)</f>
        <v/>
      </c>
      <c r="D141" s="92">
        <f>VLOOKUP(B141,原材料价格表!$B$2:$G$436,2,0)</f>
        <v/>
      </c>
      <c r="E141" s="92">
        <f>VLOOKUP(B141,原材料价格表!$B$2:$G$436,3,0)</f>
        <v/>
      </c>
      <c r="F141" s="122">
        <f>H140</f>
        <v/>
      </c>
      <c r="G141" s="92">
        <f>F140</f>
        <v/>
      </c>
      <c r="H141" s="123" t="n">
        <v>1</v>
      </c>
      <c r="I141" s="124">
        <f>F141/G141/H141</f>
        <v/>
      </c>
      <c r="J141" s="92" t="n">
        <v>40</v>
      </c>
      <c r="K141" s="124">
        <f>I141*J141</f>
        <v/>
      </c>
      <c r="L141" s="92" t="n"/>
    </row>
    <row r="142" hidden="1" ht="15.6" customHeight="1" s="170">
      <c r="A142" s="173" t="n"/>
      <c r="B142" s="156" t="inlineStr">
        <is>
          <t>牛肉碎</t>
        </is>
      </c>
      <c r="C142" s="92">
        <f>VLOOKUP(B142,原材料价格表!$B$2:$J$242,9,)</f>
        <v/>
      </c>
      <c r="D142" s="92">
        <f>VLOOKUP(B142,原材料价格表!$B$2:$G$436,2,0)</f>
        <v/>
      </c>
      <c r="E142" s="92">
        <f>VLOOKUP(B142,原材料价格表!$B$2:$G$436,3,0)</f>
        <v/>
      </c>
      <c r="F142" s="122">
        <f>VLOOKUP(B142,原材料价格表!$B$2:$G$436,6,0)</f>
        <v/>
      </c>
      <c r="G142" s="92">
        <f>VLOOKUP(B142,原材料价格表!$B$2:$G$436,5,0)</f>
        <v/>
      </c>
      <c r="H142" s="123" t="n">
        <v>0.9</v>
      </c>
      <c r="I142" s="124" t="n">
        <v>0.11</v>
      </c>
      <c r="J142" s="92" t="n">
        <v>30</v>
      </c>
      <c r="K142" s="124">
        <f>I142*J142</f>
        <v/>
      </c>
      <c r="L142" s="92" t="n"/>
    </row>
    <row r="143" hidden="1" ht="15.6" customHeight="1" s="170">
      <c r="A143" s="173" t="n"/>
      <c r="B143" s="92" t="inlineStr">
        <is>
          <t>口蘑</t>
        </is>
      </c>
      <c r="C143" s="92">
        <f>VLOOKUP(B143,原材料价格表!$B$2:$J$242,9,)</f>
        <v/>
      </c>
      <c r="D143" s="92">
        <f>VLOOKUP(B143,原材料价格表!$B$2:$G$436,2,0)</f>
        <v/>
      </c>
      <c r="E143" s="92">
        <f>VLOOKUP(B143,原材料价格表!$B$2:$G$436,3,0)</f>
        <v/>
      </c>
      <c r="F143" s="122">
        <f>VLOOKUP(B143,原材料价格表!$B$2:$G$436,6,0)</f>
        <v/>
      </c>
      <c r="G143" s="92">
        <f>VLOOKUP(B143,原材料价格表!$B$2:$G$436,5,0)</f>
        <v/>
      </c>
      <c r="H143" s="123" t="n">
        <v>1</v>
      </c>
      <c r="I143" s="124">
        <f>F143/G143/H143</f>
        <v/>
      </c>
      <c r="J143" s="92" t="n">
        <v>25</v>
      </c>
      <c r="K143" s="124">
        <f>I143*J143</f>
        <v/>
      </c>
      <c r="L143" s="92" t="n"/>
    </row>
    <row r="144" hidden="1" ht="15.6" customHeight="1" s="170">
      <c r="A144" s="173" t="n"/>
      <c r="B144" s="92" t="inlineStr">
        <is>
          <t>干巴菌</t>
        </is>
      </c>
      <c r="C144" s="92">
        <f>VLOOKUP(B144,原材料价格表!$B$2:$J$242,9,)</f>
        <v/>
      </c>
      <c r="D144" s="92">
        <f>VLOOKUP(B144,原材料价格表!$B$2:$G$436,2,0)</f>
        <v/>
      </c>
      <c r="E144" s="92">
        <f>VLOOKUP(B144,原材料价格表!$B$2:$G$436,3,0)</f>
        <v/>
      </c>
      <c r="F144" s="122">
        <f>VLOOKUP(B144,原材料价格表!$B$2:$G$436,6,0)</f>
        <v/>
      </c>
      <c r="G144" s="92">
        <f>VLOOKUP(B144,原材料价格表!$B$2:$G$436,5,0)</f>
        <v/>
      </c>
      <c r="H144" s="123" t="n">
        <v>1</v>
      </c>
      <c r="I144" s="124">
        <f>F144/G144/H144</f>
        <v/>
      </c>
      <c r="J144" s="92" t="n">
        <v>8</v>
      </c>
      <c r="K144" s="124">
        <f>I144*J144</f>
        <v/>
      </c>
      <c r="L144" s="92" t="n"/>
    </row>
    <row r="145" hidden="1" ht="15.6" customHeight="1" s="170">
      <c r="A145" s="173" t="n"/>
      <c r="B145" s="92" t="inlineStr">
        <is>
          <t>宣威火腿</t>
        </is>
      </c>
      <c r="C145" s="92">
        <f>VLOOKUP(B145,原材料价格表!$B$2:$J$242,9,)</f>
        <v/>
      </c>
      <c r="D145" s="92">
        <f>VLOOKUP(B145,原材料价格表!$B$2:$G$436,2,0)</f>
        <v/>
      </c>
      <c r="E145" s="92">
        <f>VLOOKUP(B145,原材料价格表!$B$2:$G$436,3,0)</f>
        <v/>
      </c>
      <c r="F145" s="122">
        <f>VLOOKUP(B145,原材料价格表!$B$2:$G$436,6,0)</f>
        <v/>
      </c>
      <c r="G145" s="92">
        <f>VLOOKUP(B145,原材料价格表!$B$2:$G$436,5,0)</f>
        <v/>
      </c>
      <c r="H145" s="123" t="n">
        <v>0.9</v>
      </c>
      <c r="I145" s="124">
        <f>F145/G145/H145</f>
        <v/>
      </c>
      <c r="J145" s="92" t="n">
        <v>20</v>
      </c>
      <c r="K145" s="124">
        <f>I145*J145</f>
        <v/>
      </c>
      <c r="L145" s="92" t="n"/>
    </row>
    <row r="146" hidden="1" ht="15.6" customHeight="1" s="170">
      <c r="A146" s="173" t="n"/>
      <c r="B146" s="92" t="inlineStr">
        <is>
          <t>螺丝椒</t>
        </is>
      </c>
      <c r="C146" s="92">
        <f>VLOOKUP(B146,原材料价格表!$B$2:$J$242,9,)</f>
        <v/>
      </c>
      <c r="D146" s="92">
        <f>VLOOKUP(B146,原材料价格表!$B$2:$G$436,2,0)</f>
        <v/>
      </c>
      <c r="E146" s="92">
        <f>VLOOKUP(B146,原材料价格表!$B$2:$G$436,3,0)</f>
        <v/>
      </c>
      <c r="F146" s="122">
        <f>VLOOKUP(B146,原材料价格表!$B$2:$G$436,6,0)</f>
        <v/>
      </c>
      <c r="G146" s="92">
        <f>VLOOKUP(B146,原材料价格表!$B$2:$G$436,5,0)</f>
        <v/>
      </c>
      <c r="H146" s="123" t="n">
        <v>0.9</v>
      </c>
      <c r="I146" s="124">
        <f>F146/G146/H146</f>
        <v/>
      </c>
      <c r="J146" s="92" t="n">
        <v>20</v>
      </c>
      <c r="K146" s="124">
        <f>I146*J146</f>
        <v/>
      </c>
      <c r="L146" s="92" t="n"/>
    </row>
    <row r="147" hidden="1" ht="15.6" customHeight="1" s="170">
      <c r="A147" s="173" t="n"/>
      <c r="B147" s="92" t="inlineStr">
        <is>
          <t>黄天鹅无菌蛋</t>
        </is>
      </c>
      <c r="C147" s="92">
        <f>VLOOKUP(B147,原材料价格表!$B$2:$J$242,9,)</f>
        <v/>
      </c>
      <c r="D147" s="92">
        <f>VLOOKUP(B147,原材料价格表!$B$2:$G$436,2,0)</f>
        <v/>
      </c>
      <c r="E147" s="92">
        <f>VLOOKUP(B147,原材料价格表!$B$2:$G$436,3,0)</f>
        <v/>
      </c>
      <c r="F147" s="122">
        <f>VLOOKUP(B147,原材料价格表!$B$2:$G$436,6,0)</f>
        <v/>
      </c>
      <c r="G147" s="92">
        <f>VLOOKUP(B147,原材料价格表!$B$2:$G$436,5,0)</f>
        <v/>
      </c>
      <c r="H147" s="123" t="n">
        <v>1</v>
      </c>
      <c r="I147" s="124">
        <f>F147/G147/H147</f>
        <v/>
      </c>
      <c r="J147" s="92" t="n">
        <v>1</v>
      </c>
      <c r="K147" s="124">
        <f>I147*J147</f>
        <v/>
      </c>
      <c r="L147" s="92" t="n"/>
    </row>
    <row r="148" hidden="1" ht="15.6" customHeight="1" s="170">
      <c r="A148" s="173" t="n"/>
      <c r="B148" s="92" t="inlineStr">
        <is>
          <t>大米</t>
        </is>
      </c>
      <c r="C148" s="92">
        <f>VLOOKUP(B148,原材料价格表!$B$2:$J$242,9,)</f>
        <v/>
      </c>
      <c r="D148" s="92">
        <f>VLOOKUP(B148,原材料价格表!$B$2:$G$436,2,0)</f>
        <v/>
      </c>
      <c r="E148" s="92">
        <f>VLOOKUP(B148,原材料价格表!$B$2:$G$436,3,0)</f>
        <v/>
      </c>
      <c r="F148" s="122">
        <f>VLOOKUP(B148,原材料价格表!$B$2:$G$436,6,0)</f>
        <v/>
      </c>
      <c r="G148" s="92">
        <f>VLOOKUP(B148,原材料价格表!$B$2:$G$436,5,0)</f>
        <v/>
      </c>
      <c r="H148" s="123" t="n">
        <v>1.5</v>
      </c>
      <c r="I148" s="124">
        <f>F148/G148/H148</f>
        <v/>
      </c>
      <c r="J148" s="92" t="n">
        <v>300</v>
      </c>
      <c r="K148" s="124">
        <f>I148*J148</f>
        <v/>
      </c>
      <c r="L148" s="92" t="n"/>
    </row>
    <row r="149" hidden="1" ht="18" customHeight="1" s="170">
      <c r="A149" s="174" t="n"/>
      <c r="B149" s="95" t="inlineStr">
        <is>
          <t>售价</t>
        </is>
      </c>
      <c r="C149" s="92" t="n"/>
      <c r="D149" s="175" t="n">
        <v>38</v>
      </c>
      <c r="E149" s="95" t="inlineStr">
        <is>
          <t>售卖份量/g</t>
        </is>
      </c>
      <c r="F149" s="125">
        <f>SUM(J141:J148)</f>
        <v/>
      </c>
      <c r="G149" s="93" t="inlineStr">
        <is>
          <t>总成本（元）</t>
        </is>
      </c>
      <c r="H149" s="176">
        <f>SUM(K141:K148)</f>
        <v/>
      </c>
      <c r="I149" s="127" t="inlineStr">
        <is>
          <t>毛利/元</t>
        </is>
      </c>
      <c r="J149" s="127">
        <f>D149-H149</f>
        <v/>
      </c>
      <c r="K149" s="127" t="inlineStr">
        <is>
          <t>毛利率</t>
        </is>
      </c>
      <c r="L149" s="145">
        <f>J149/D149</f>
        <v/>
      </c>
    </row>
    <row r="150" hidden="1" ht="15.6" customHeight="1" s="170">
      <c r="A150" s="93" t="inlineStr">
        <is>
          <t>糟辣椒炒饭</t>
        </is>
      </c>
      <c r="B150" s="92" t="inlineStr">
        <is>
          <t>鸡蛋</t>
        </is>
      </c>
      <c r="C150" s="92">
        <f>VLOOKUP(B150,原材料价格表!$B$2:$J$242,9,)</f>
        <v/>
      </c>
      <c r="D150" s="92">
        <f>VLOOKUP(B150,原材料价格表!$B$2:$G$436,2,0)</f>
        <v/>
      </c>
      <c r="E150" s="92">
        <f>VLOOKUP(B150,原材料价格表!$B$2:$G$436,3,0)</f>
        <v/>
      </c>
      <c r="F150" s="122">
        <f>VLOOKUP(B150,原材料价格表!$B$2:$G$436,6,0)</f>
        <v/>
      </c>
      <c r="G150" s="92">
        <f>VLOOKUP(B150,原材料价格表!$B$2:$G$436,5,0)</f>
        <v/>
      </c>
      <c r="H150" s="123" t="n">
        <v>1</v>
      </c>
      <c r="I150" s="124">
        <f>F150/G150/H150</f>
        <v/>
      </c>
      <c r="J150" s="92" t="n">
        <v>1</v>
      </c>
      <c r="K150" s="124">
        <f>I150*J150</f>
        <v/>
      </c>
      <c r="L150" s="92" t="n"/>
    </row>
    <row r="151" hidden="1" ht="15.6" customHeight="1" s="170">
      <c r="A151" s="173" t="n"/>
      <c r="B151" s="92" t="inlineStr">
        <is>
          <t>糟辣椒</t>
        </is>
      </c>
      <c r="C151" s="92">
        <f>VLOOKUP(B151,原材料价格表!$B$2:$J$242,9,)</f>
        <v/>
      </c>
      <c r="D151" s="92">
        <f>VLOOKUP(B151,原材料价格表!$B$2:$G$436,2,0)</f>
        <v/>
      </c>
      <c r="E151" s="92">
        <f>VLOOKUP(B151,原材料价格表!$B$2:$G$436,3,0)</f>
        <v/>
      </c>
      <c r="F151" s="122" t="n">
        <v>15</v>
      </c>
      <c r="G151" s="92">
        <f>VLOOKUP(B151,原材料价格表!$B$2:$G$436,5,0)</f>
        <v/>
      </c>
      <c r="H151" s="123" t="n">
        <v>1</v>
      </c>
      <c r="I151" s="124">
        <f>F151/G151/H151</f>
        <v/>
      </c>
      <c r="J151" s="92" t="n">
        <v>30</v>
      </c>
      <c r="K151" s="124">
        <f>I151*J151</f>
        <v/>
      </c>
      <c r="L151" s="92" t="n"/>
    </row>
    <row r="152" hidden="1" ht="15.6" customHeight="1" s="170">
      <c r="A152" s="173" t="n"/>
      <c r="B152" s="92" t="inlineStr">
        <is>
          <t>脆哨</t>
        </is>
      </c>
      <c r="C152" s="92">
        <f>VLOOKUP(B152,原材料价格表!$B$2:$J$242,9,)</f>
        <v/>
      </c>
      <c r="D152" s="92">
        <f>VLOOKUP(B152,原材料价格表!$B$2:$G$436,2,0)</f>
        <v/>
      </c>
      <c r="E152" s="92">
        <f>VLOOKUP(B152,原材料价格表!$B$2:$G$436,3,0)</f>
        <v/>
      </c>
      <c r="F152" s="122" t="n">
        <v>27</v>
      </c>
      <c r="G152" s="92">
        <f>VLOOKUP(B152,原材料价格表!$B$2:$G$436,5,0)</f>
        <v/>
      </c>
      <c r="H152" s="123" t="n">
        <v>1</v>
      </c>
      <c r="I152" s="124">
        <f>F152/G152/H152</f>
        <v/>
      </c>
      <c r="J152" s="92" t="n">
        <v>10</v>
      </c>
      <c r="K152" s="124">
        <f>I152*J152</f>
        <v/>
      </c>
      <c r="L152" s="92" t="n"/>
    </row>
    <row r="153" hidden="1" ht="15.6" customHeight="1" s="170">
      <c r="A153" s="173" t="n"/>
      <c r="B153" s="92" t="inlineStr">
        <is>
          <t>大米</t>
        </is>
      </c>
      <c r="C153" s="92">
        <f>VLOOKUP(B153,原材料价格表!$B$2:$J$242,9,)</f>
        <v/>
      </c>
      <c r="D153" s="92">
        <f>VLOOKUP(B153,原材料价格表!$B$2:$G$436,2,0)</f>
        <v/>
      </c>
      <c r="E153" s="92">
        <f>VLOOKUP(B153,原材料价格表!$B$2:$G$436,3,0)</f>
        <v/>
      </c>
      <c r="F153" s="122">
        <f>VLOOKUP(B153,原材料价格表!$B$2:$G$436,6,0)</f>
        <v/>
      </c>
      <c r="G153" s="92">
        <f>VLOOKUP(B153,原材料价格表!$B$2:$G$436,5,0)</f>
        <v/>
      </c>
      <c r="H153" s="123" t="n">
        <v>1.5</v>
      </c>
      <c r="I153" s="124">
        <f>F153/G153/H153</f>
        <v/>
      </c>
      <c r="J153" s="92" t="n">
        <v>300</v>
      </c>
      <c r="K153" s="124">
        <f>I153*J153</f>
        <v/>
      </c>
      <c r="L153" s="92" t="n"/>
    </row>
    <row r="154" hidden="1" ht="18" customHeight="1" s="170">
      <c r="A154" s="174" t="n"/>
      <c r="B154" s="95" t="inlineStr">
        <is>
          <t>售价</t>
        </is>
      </c>
      <c r="C154" s="92" t="n"/>
      <c r="D154" s="175" t="n">
        <v>22</v>
      </c>
      <c r="E154" s="95" t="inlineStr">
        <is>
          <t>售卖份量/g</t>
        </is>
      </c>
      <c r="F154" s="125">
        <f>SUM(J150:J153)</f>
        <v/>
      </c>
      <c r="G154" s="93" t="inlineStr">
        <is>
          <t>总成本（元）</t>
        </is>
      </c>
      <c r="H154" s="176">
        <f>SUM(K150:K153)</f>
        <v/>
      </c>
      <c r="I154" s="127" t="inlineStr">
        <is>
          <t>毛利/元</t>
        </is>
      </c>
      <c r="J154" s="127">
        <f>D154-H154</f>
        <v/>
      </c>
      <c r="K154" s="127" t="inlineStr">
        <is>
          <t>毛利率</t>
        </is>
      </c>
      <c r="L154" s="145">
        <f>J154/D154</f>
        <v/>
      </c>
    </row>
    <row r="155" hidden="1" ht="15.6" customHeight="1" s="170">
      <c r="A155" s="93" t="inlineStr">
        <is>
          <t>野佐料擂椒皮蛋</t>
        </is>
      </c>
      <c r="B155" s="92" t="inlineStr">
        <is>
          <t>茄子</t>
        </is>
      </c>
      <c r="C155" s="92">
        <f>VLOOKUP(B155,原材料价格表!$B$2:$J$242,9,)</f>
        <v/>
      </c>
      <c r="D155" s="92">
        <f>VLOOKUP(B155,原材料价格表!$B$2:$G$436,2,0)</f>
        <v/>
      </c>
      <c r="E155" s="92">
        <f>VLOOKUP(B155,原材料价格表!$B$2:$G$436,3,0)</f>
        <v/>
      </c>
      <c r="F155" s="122">
        <f>VLOOKUP(B155,原材料价格表!$B$2:$G$436,6,0)</f>
        <v/>
      </c>
      <c r="G155" s="92">
        <f>VLOOKUP(B155,原材料价格表!$B$2:$G$436,5,0)</f>
        <v/>
      </c>
      <c r="H155" s="123" t="n">
        <v>0.9</v>
      </c>
      <c r="I155" s="124">
        <f>F155/G155/H155</f>
        <v/>
      </c>
      <c r="J155" s="92" t="n">
        <v>200</v>
      </c>
      <c r="K155" s="124">
        <f>I155*J155</f>
        <v/>
      </c>
      <c r="L155" s="92" t="n"/>
    </row>
    <row r="156" hidden="1" ht="15.6" customHeight="1" s="170">
      <c r="A156" s="173" t="n"/>
      <c r="B156" s="92" t="inlineStr">
        <is>
          <t>盐</t>
        </is>
      </c>
      <c r="C156" s="92">
        <f>VLOOKUP(B156,原材料价格表!$B$2:$J$242,9,)</f>
        <v/>
      </c>
      <c r="D156" s="92">
        <f>VLOOKUP(B156,原材料价格表!$B$2:$G$436,2,0)</f>
        <v/>
      </c>
      <c r="E156" s="92">
        <f>VLOOKUP(B156,原材料价格表!$B$2:$G$436,3,0)</f>
        <v/>
      </c>
      <c r="F156" s="122">
        <f>VLOOKUP(B156,原材料价格表!$B$2:$G$436,6,0)</f>
        <v/>
      </c>
      <c r="G156" s="92">
        <f>VLOOKUP(B156,原材料价格表!$B$2:$G$436,5,0)</f>
        <v/>
      </c>
      <c r="H156" s="123" t="n">
        <v>1</v>
      </c>
      <c r="I156" s="124">
        <f>F156/G156/H156</f>
        <v/>
      </c>
      <c r="J156" s="92" t="n">
        <v>2</v>
      </c>
      <c r="K156" s="124">
        <f>I156*J156</f>
        <v/>
      </c>
      <c r="L156" s="92" t="n"/>
    </row>
    <row r="157" hidden="1" ht="15.6" customHeight="1" s="170">
      <c r="A157" s="173" t="n"/>
      <c r="B157" s="92" t="inlineStr">
        <is>
          <t>鸡精</t>
        </is>
      </c>
      <c r="C157" s="92">
        <f>VLOOKUP(B157,原材料价格表!$B$2:$J$242,9,)</f>
        <v/>
      </c>
      <c r="D157" s="92">
        <f>VLOOKUP(B157,原材料价格表!$B$2:$G$436,2,0)</f>
        <v/>
      </c>
      <c r="E157" s="92">
        <f>VLOOKUP(B157,原材料价格表!$B$2:$G$436,3,0)</f>
        <v/>
      </c>
      <c r="F157" s="122">
        <f>VLOOKUP(B157,原材料价格表!$B$2:$G$436,6,0)</f>
        <v/>
      </c>
      <c r="G157" s="92">
        <f>VLOOKUP(B157,原材料价格表!$B$2:$G$436,5,0)</f>
        <v/>
      </c>
      <c r="H157" s="123" t="n">
        <v>1</v>
      </c>
      <c r="I157" s="124">
        <f>F157/G157/H157</f>
        <v/>
      </c>
      <c r="J157" s="92" t="n">
        <v>4</v>
      </c>
      <c r="K157" s="124">
        <f>I157*J157</f>
        <v/>
      </c>
      <c r="L157" s="92" t="n"/>
    </row>
    <row r="158" hidden="1" ht="15.6" customHeight="1" s="170">
      <c r="A158" s="173" t="n"/>
      <c r="B158" s="92" t="inlineStr">
        <is>
          <t>味精</t>
        </is>
      </c>
      <c r="C158" s="92">
        <f>VLOOKUP(B158,原材料价格表!$B$2:$J$242,9,)</f>
        <v/>
      </c>
      <c r="D158" s="92">
        <f>VLOOKUP(B158,原材料价格表!$B$2:$G$436,2,0)</f>
        <v/>
      </c>
      <c r="E158" s="92">
        <f>VLOOKUP(B158,原材料价格表!$B$2:$G$436,3,0)</f>
        <v/>
      </c>
      <c r="F158" s="122">
        <f>VLOOKUP(B158,原材料价格表!$B$2:$G$436,6,0)</f>
        <v/>
      </c>
      <c r="G158" s="92">
        <f>VLOOKUP(B158,原材料价格表!$B$2:$G$436,5,0)</f>
        <v/>
      </c>
      <c r="H158" s="123" t="n">
        <v>1</v>
      </c>
      <c r="I158" s="124">
        <f>F158/G158/H158</f>
        <v/>
      </c>
      <c r="J158" s="92" t="n">
        <v>2</v>
      </c>
      <c r="K158" s="124">
        <f>I158*J158</f>
        <v/>
      </c>
      <c r="L158" s="92" t="n"/>
    </row>
    <row r="159" hidden="1" ht="15.6" customHeight="1" s="170">
      <c r="A159" s="173" t="n"/>
      <c r="B159" s="92" t="inlineStr">
        <is>
          <t>白糖</t>
        </is>
      </c>
      <c r="C159" s="92">
        <f>VLOOKUP(B159,原材料价格表!$B$2:$J$242,9,)</f>
        <v/>
      </c>
      <c r="D159" s="92">
        <f>VLOOKUP(B159,原材料价格表!$B$2:$G$436,2,0)</f>
        <v/>
      </c>
      <c r="E159" s="92">
        <f>VLOOKUP(B159,原材料价格表!$B$2:$G$436,3,0)</f>
        <v/>
      </c>
      <c r="F159" s="122">
        <f>VLOOKUP(B159,原材料价格表!$B$2:$G$436,6,0)</f>
        <v/>
      </c>
      <c r="G159" s="92">
        <f>VLOOKUP(B159,原材料价格表!$B$2:$G$436,5,0)</f>
        <v/>
      </c>
      <c r="H159" s="123" t="n">
        <v>1</v>
      </c>
      <c r="I159" s="124">
        <f>F159/G159/H159</f>
        <v/>
      </c>
      <c r="J159" s="92" t="n">
        <v>1</v>
      </c>
      <c r="K159" s="124">
        <f>I159*J159</f>
        <v/>
      </c>
      <c r="L159" s="92" t="n"/>
    </row>
    <row r="160" hidden="1" ht="15.6" customHeight="1" s="170">
      <c r="A160" s="173" t="n"/>
      <c r="B160" s="92" t="inlineStr">
        <is>
          <t>贵州五香辣椒面</t>
        </is>
      </c>
      <c r="C160" s="92">
        <f>VLOOKUP(B160,原材料价格表!$B$2:$J$242,9,)</f>
        <v/>
      </c>
      <c r="D160" s="92">
        <f>VLOOKUP(B160,原材料价格表!$B$2:$G$436,2,0)</f>
        <v/>
      </c>
      <c r="E160" s="92">
        <f>VLOOKUP(B160,原材料价格表!$B$2:$G$436,3,0)</f>
        <v/>
      </c>
      <c r="F160" s="122" t="n">
        <v>20</v>
      </c>
      <c r="G160" s="92">
        <f>VLOOKUP(B160,原材料价格表!$B$2:$G$436,5,0)</f>
        <v/>
      </c>
      <c r="H160" s="123" t="n">
        <v>1</v>
      </c>
      <c r="I160" s="124">
        <f>F160/G160/H160</f>
        <v/>
      </c>
      <c r="J160" s="92" t="n">
        <v>4</v>
      </c>
      <c r="K160" s="124">
        <f>I160*J160</f>
        <v/>
      </c>
      <c r="L160" s="92" t="n"/>
    </row>
    <row r="161" hidden="1" ht="15.6" customHeight="1" s="170">
      <c r="A161" s="173" t="n"/>
      <c r="B161" s="92" t="inlineStr">
        <is>
          <t>糊辣椒</t>
        </is>
      </c>
      <c r="C161" s="92">
        <f>VLOOKUP(B161,原材料价格表!$B$2:$J$242,9,)</f>
        <v/>
      </c>
      <c r="D161" s="92">
        <f>VLOOKUP(B161,原材料价格表!$B$2:$G$436,2,0)</f>
        <v/>
      </c>
      <c r="E161" s="92">
        <f>VLOOKUP(B161,原材料价格表!$B$2:$G$436,3,0)</f>
        <v/>
      </c>
      <c r="F161" s="122" t="n">
        <v>25</v>
      </c>
      <c r="G161" s="92">
        <f>VLOOKUP(B161,原材料价格表!$B$2:$G$436,5,0)</f>
        <v/>
      </c>
      <c r="H161" s="123" t="n">
        <v>1</v>
      </c>
      <c r="I161" s="124">
        <f>F161/G161/H161</f>
        <v/>
      </c>
      <c r="J161" s="92" t="n">
        <v>4.5</v>
      </c>
      <c r="K161" s="124">
        <f>I161*J161</f>
        <v/>
      </c>
      <c r="L161" s="92" t="n"/>
    </row>
    <row r="162" hidden="1" ht="17.6" customHeight="1" s="170">
      <c r="A162" s="173" t="n"/>
      <c r="B162" s="92" t="inlineStr">
        <is>
          <t>大蒜</t>
        </is>
      </c>
      <c r="C162" s="92">
        <f>VLOOKUP(B162,原材料价格表!$B$2:$J$242,9,)</f>
        <v/>
      </c>
      <c r="D162" s="92">
        <f>VLOOKUP(B162,原材料价格表!$B$2:$G$436,2,0)</f>
        <v/>
      </c>
      <c r="E162" s="92">
        <f>VLOOKUP(B162,原材料价格表!$B$2:$G$436,3,0)</f>
        <v/>
      </c>
      <c r="F162" s="122">
        <f>VLOOKUP(B162,原材料价格表!$B$2:$G$436,6,0)</f>
        <v/>
      </c>
      <c r="G162" s="92">
        <f>VLOOKUP(B162,原材料价格表!$B$2:$G$436,5,0)</f>
        <v/>
      </c>
      <c r="H162" s="123" t="n">
        <v>1</v>
      </c>
      <c r="I162" s="124">
        <f>F162/G162/H162</f>
        <v/>
      </c>
      <c r="J162" s="92" t="n">
        <v>8</v>
      </c>
      <c r="K162" s="124">
        <f>I162*J162</f>
        <v/>
      </c>
      <c r="L162" s="145" t="n"/>
    </row>
    <row r="163" hidden="1" ht="17.6" customHeight="1" s="170">
      <c r="A163" s="173" t="n"/>
      <c r="B163" s="92" t="inlineStr">
        <is>
          <t>生抽</t>
        </is>
      </c>
      <c r="C163" s="92">
        <f>VLOOKUP(B163,原材料价格表!$B$2:$J$242,9,)</f>
        <v/>
      </c>
      <c r="D163" s="92">
        <f>VLOOKUP(B163,原材料价格表!$B$2:$G$436,2,0)</f>
        <v/>
      </c>
      <c r="E163" s="92">
        <f>VLOOKUP(B163,原材料价格表!$B$2:$G$436,3,0)</f>
        <v/>
      </c>
      <c r="F163" s="122">
        <f>VLOOKUP(B163,原材料价格表!$B$2:$G$436,6,0)</f>
        <v/>
      </c>
      <c r="G163" s="92">
        <f>VLOOKUP(B163,原材料价格表!$B$2:$G$436,5,0)</f>
        <v/>
      </c>
      <c r="H163" s="123" t="n">
        <v>1</v>
      </c>
      <c r="I163" s="124">
        <f>F163/G163/H163</f>
        <v/>
      </c>
      <c r="J163" s="92" t="n">
        <v>10</v>
      </c>
      <c r="K163" s="124">
        <f>I163*J163</f>
        <v/>
      </c>
      <c r="L163" s="145" t="n"/>
    </row>
    <row r="164" hidden="1" ht="17.6" customHeight="1" s="170">
      <c r="A164" s="173" t="n"/>
      <c r="B164" s="92" t="inlineStr">
        <is>
          <t>蚝油</t>
        </is>
      </c>
      <c r="C164" s="92">
        <f>VLOOKUP(B164,原材料价格表!$B$2:$J$242,9,)</f>
        <v/>
      </c>
      <c r="D164" s="92">
        <f>VLOOKUP(B164,原材料价格表!$B$2:$G$436,2,0)</f>
        <v/>
      </c>
      <c r="E164" s="92">
        <f>VLOOKUP(B164,原材料价格表!$B$2:$G$436,3,0)</f>
        <v/>
      </c>
      <c r="F164" s="122">
        <f>VLOOKUP(B164,原材料价格表!$B$2:$G$436,6,0)</f>
        <v/>
      </c>
      <c r="G164" s="92">
        <f>VLOOKUP(B164,原材料价格表!$B$2:$G$436,5,0)</f>
        <v/>
      </c>
      <c r="H164" s="123" t="n">
        <v>1</v>
      </c>
      <c r="I164" s="124">
        <f>F164/G164/H164</f>
        <v/>
      </c>
      <c r="J164" s="92" t="n">
        <v>6</v>
      </c>
      <c r="K164" s="124">
        <f>I164*J164</f>
        <v/>
      </c>
      <c r="L164" s="145" t="n"/>
    </row>
    <row r="165" hidden="1" ht="17.6" customHeight="1" s="170">
      <c r="A165" s="173" t="n"/>
      <c r="B165" s="92" t="inlineStr">
        <is>
          <t>藤椒油</t>
        </is>
      </c>
      <c r="C165" s="92">
        <f>VLOOKUP(B165,原材料价格表!$B$2:$J$242,9,)</f>
        <v/>
      </c>
      <c r="D165" s="92">
        <f>VLOOKUP(B165,原材料价格表!$B$2:$G$436,2,0)</f>
        <v/>
      </c>
      <c r="E165" s="92">
        <f>VLOOKUP(B165,原材料价格表!$B$2:$G$436,3,0)</f>
        <v/>
      </c>
      <c r="F165" s="122">
        <f>VLOOKUP(B165,原材料价格表!$B$2:$G$436,6,0)</f>
        <v/>
      </c>
      <c r="G165" s="92">
        <f>VLOOKUP(B165,原材料价格表!$B$2:$G$436,5,0)</f>
        <v/>
      </c>
      <c r="H165" s="123" t="n">
        <v>1</v>
      </c>
      <c r="I165" s="124">
        <f>F165/G165/H165</f>
        <v/>
      </c>
      <c r="J165" s="92" t="n">
        <v>2</v>
      </c>
      <c r="K165" s="124">
        <f>I165*J165</f>
        <v/>
      </c>
      <c r="L165" s="145" t="n"/>
    </row>
    <row r="166" hidden="1" ht="17.6" customHeight="1" s="170">
      <c r="A166" s="173" t="n"/>
      <c r="B166" s="92" t="inlineStr">
        <is>
          <t>黄心皮蛋</t>
        </is>
      </c>
      <c r="C166" s="92">
        <f>VLOOKUP(B166,原材料价格表!$B$2:$J$242,9,)</f>
        <v/>
      </c>
      <c r="D166" s="92">
        <f>VLOOKUP(B166,原材料价格表!$B$2:$G$436,2,0)</f>
        <v/>
      </c>
      <c r="E166" s="92">
        <f>VLOOKUP(B166,原材料价格表!$B$2:$G$436,3,0)</f>
        <v/>
      </c>
      <c r="F166" s="122">
        <f>VLOOKUP(B166,原材料价格表!$B$2:$G$436,6,0)</f>
        <v/>
      </c>
      <c r="G166" s="92">
        <f>VLOOKUP(B166,原材料价格表!$B$2:$G$436,5,0)</f>
        <v/>
      </c>
      <c r="H166" s="123" t="n">
        <v>1</v>
      </c>
      <c r="I166" s="124">
        <f>F166/G166/H166</f>
        <v/>
      </c>
      <c r="J166" s="92" t="n">
        <v>3</v>
      </c>
      <c r="K166" s="124">
        <f>I166*J166</f>
        <v/>
      </c>
      <c r="L166" s="145" t="n"/>
    </row>
    <row r="167" hidden="1" ht="17.6" customHeight="1" s="170">
      <c r="A167" s="173" t="n"/>
      <c r="B167" s="92" t="inlineStr">
        <is>
          <t>螺丝椒</t>
        </is>
      </c>
      <c r="C167" s="92">
        <f>VLOOKUP(B167,原材料价格表!$B$2:$J$242,9,)</f>
        <v/>
      </c>
      <c r="D167" s="92">
        <f>VLOOKUP(B167,原材料价格表!$B$2:$G$436,2,0)</f>
        <v/>
      </c>
      <c r="E167" s="92">
        <f>VLOOKUP(B167,原材料价格表!$B$2:$G$436,3,0)</f>
        <v/>
      </c>
      <c r="F167" s="122">
        <f>VLOOKUP(B167,原材料价格表!$B$2:$G$436,6,0)</f>
        <v/>
      </c>
      <c r="G167" s="92">
        <f>VLOOKUP(B167,原材料价格表!$B$2:$G$436,5,0)</f>
        <v/>
      </c>
      <c r="H167" s="123" t="n">
        <v>0.9</v>
      </c>
      <c r="I167" s="124">
        <f>F167/G167/H167</f>
        <v/>
      </c>
      <c r="J167" s="92" t="n">
        <v>40</v>
      </c>
      <c r="K167" s="124">
        <f>I167*J167</f>
        <v/>
      </c>
      <c r="L167" s="145" t="n"/>
    </row>
    <row r="168" hidden="1" ht="17.6" customHeight="1" s="170">
      <c r="A168" s="173" t="n"/>
      <c r="B168" s="92" t="inlineStr">
        <is>
          <t>番茄</t>
        </is>
      </c>
      <c r="C168" s="92">
        <f>VLOOKUP(B168,原材料价格表!$B$2:$J$242,9,)</f>
        <v/>
      </c>
      <c r="D168" s="92">
        <f>VLOOKUP(B168,原材料价格表!$B$2:$G$436,2,0)</f>
        <v/>
      </c>
      <c r="E168" s="92">
        <f>VLOOKUP(B168,原材料价格表!$B$2:$G$436,3,0)</f>
        <v/>
      </c>
      <c r="F168" s="122">
        <f>VLOOKUP(B168,原材料价格表!$B$2:$G$436,6,0)</f>
        <v/>
      </c>
      <c r="G168" s="92">
        <f>VLOOKUP(B168,原材料价格表!$B$2:$G$436,5,0)</f>
        <v/>
      </c>
      <c r="H168" s="123" t="n">
        <v>0.95</v>
      </c>
      <c r="I168" s="124">
        <f>F168/G168/H168</f>
        <v/>
      </c>
      <c r="J168" s="92" t="n">
        <v>100</v>
      </c>
      <c r="K168" s="124">
        <f>I168*J168</f>
        <v/>
      </c>
      <c r="L168" s="145" t="n"/>
    </row>
    <row r="169" hidden="1" ht="17.6" customHeight="1" s="170">
      <c r="A169" s="173" t="n"/>
      <c r="B169" s="92" t="inlineStr">
        <is>
          <t>香菜</t>
        </is>
      </c>
      <c r="C169" s="92">
        <f>VLOOKUP(B169,原材料价格表!$B$2:$J$242,9,)</f>
        <v/>
      </c>
      <c r="D169" s="92">
        <f>VLOOKUP(B169,原材料价格表!$B$2:$G$436,2,0)</f>
        <v/>
      </c>
      <c r="E169" s="92">
        <f>VLOOKUP(B169,原材料价格表!$B$2:$G$436,3,0)</f>
        <v/>
      </c>
      <c r="F169" s="122">
        <f>VLOOKUP(B169,原材料价格表!$B$2:$G$436,6,0)</f>
        <v/>
      </c>
      <c r="G169" s="92">
        <f>VLOOKUP(B169,原材料价格表!$B$2:$G$436,5,0)</f>
        <v/>
      </c>
      <c r="H169" s="123" t="n">
        <v>0.9</v>
      </c>
      <c r="I169" s="124">
        <f>F169/G169/H169</f>
        <v/>
      </c>
      <c r="J169" s="92" t="n">
        <v>15</v>
      </c>
      <c r="K169" s="124">
        <f>I169*J169</f>
        <v/>
      </c>
      <c r="L169" s="145" t="n"/>
    </row>
    <row r="170" hidden="1" ht="17.6" customHeight="1" s="170">
      <c r="A170" s="173" t="n"/>
      <c r="B170" s="92" t="inlineStr">
        <is>
          <t>小米辣</t>
        </is>
      </c>
      <c r="C170" s="92">
        <f>VLOOKUP(B170,原材料价格表!$B$2:$J$242,9,)</f>
        <v/>
      </c>
      <c r="D170" s="92">
        <f>VLOOKUP(B170,原材料价格表!$B$2:$G$436,2,0)</f>
        <v/>
      </c>
      <c r="E170" s="92">
        <f>VLOOKUP(B170,原材料价格表!$B$2:$G$436,3,0)</f>
        <v/>
      </c>
      <c r="F170" s="122">
        <f>VLOOKUP(B170,原材料价格表!$B$2:$G$436,6,0)</f>
        <v/>
      </c>
      <c r="G170" s="92">
        <f>VLOOKUP(B170,原材料价格表!$B$2:$G$436,5,0)</f>
        <v/>
      </c>
      <c r="H170" s="123" t="n">
        <v>0.95</v>
      </c>
      <c r="I170" s="124">
        <f>F170/G170/H170</f>
        <v/>
      </c>
      <c r="J170" s="92" t="n">
        <v>2</v>
      </c>
      <c r="K170" s="124">
        <f>I170*J170</f>
        <v/>
      </c>
      <c r="L170" s="145" t="n"/>
    </row>
    <row r="171" hidden="1" ht="17.6" customHeight="1" s="170">
      <c r="A171" s="173" t="n"/>
      <c r="B171" s="92" t="inlineStr">
        <is>
          <t>折耳根</t>
        </is>
      </c>
      <c r="C171" s="92">
        <f>VLOOKUP(B171,原材料价格表!$B$2:$J$242,9,)</f>
        <v/>
      </c>
      <c r="D171" s="92">
        <f>VLOOKUP(B171,原材料价格表!$B$2:$G$436,2,0)</f>
        <v/>
      </c>
      <c r="E171" s="92">
        <f>VLOOKUP(B171,原材料价格表!$B$2:$G$436,3,0)</f>
        <v/>
      </c>
      <c r="F171" s="122">
        <f>VLOOKUP(B171,原材料价格表!$B$2:$G$436,6,0)</f>
        <v/>
      </c>
      <c r="G171" s="92">
        <f>VLOOKUP(B171,原材料价格表!$B$2:$G$436,5,0)</f>
        <v/>
      </c>
      <c r="H171" s="123" t="n">
        <v>0.95</v>
      </c>
      <c r="I171" s="124">
        <f>F171/G171/H171</f>
        <v/>
      </c>
      <c r="J171" s="92" t="n">
        <v>25</v>
      </c>
      <c r="K171" s="124">
        <f>I171*J171</f>
        <v/>
      </c>
      <c r="L171" s="145" t="n"/>
    </row>
    <row r="172" hidden="1" ht="17.6" customHeight="1" s="170">
      <c r="A172" s="173" t="n"/>
      <c r="B172" s="92" t="inlineStr">
        <is>
          <t>脆哨</t>
        </is>
      </c>
      <c r="C172" s="92">
        <f>VLOOKUP(B172,原材料价格表!$B$2:$J$242,9,)</f>
        <v/>
      </c>
      <c r="D172" s="92">
        <f>VLOOKUP(B172,原材料价格表!$B$2:$G$436,2,0)</f>
        <v/>
      </c>
      <c r="E172" s="92">
        <f>VLOOKUP(B172,原材料价格表!$B$2:$G$436,3,0)</f>
        <v/>
      </c>
      <c r="F172" s="122" t="n">
        <v>27</v>
      </c>
      <c r="G172" s="92">
        <f>VLOOKUP(B172,原材料价格表!$B$2:$G$436,5,0)</f>
        <v/>
      </c>
      <c r="H172" s="123" t="n">
        <v>1</v>
      </c>
      <c r="I172" s="124">
        <f>F172/G172/H172</f>
        <v/>
      </c>
      <c r="J172" s="92" t="n">
        <v>20</v>
      </c>
      <c r="K172" s="124">
        <f>I172*J172</f>
        <v/>
      </c>
      <c r="L172" s="145" t="n"/>
    </row>
    <row r="173" hidden="1" ht="18" customHeight="1" s="170">
      <c r="A173" s="174" t="n"/>
      <c r="B173" s="95" t="inlineStr">
        <is>
          <t>售价</t>
        </is>
      </c>
      <c r="C173" s="92" t="n"/>
      <c r="D173" s="175" t="n">
        <v>28</v>
      </c>
      <c r="E173" s="95" t="inlineStr">
        <is>
          <t>售卖份量/g</t>
        </is>
      </c>
      <c r="F173" s="125">
        <f>SUM(J155:J172)</f>
        <v/>
      </c>
      <c r="G173" s="93" t="inlineStr">
        <is>
          <t>总成本（元）</t>
        </is>
      </c>
      <c r="H173" s="176">
        <f>SUM(K155:K172)</f>
        <v/>
      </c>
      <c r="I173" s="127" t="inlineStr">
        <is>
          <t>毛利/元</t>
        </is>
      </c>
      <c r="J173" s="127">
        <f>D173-H173</f>
        <v/>
      </c>
      <c r="K173" s="127" t="inlineStr">
        <is>
          <t>毛利率</t>
        </is>
      </c>
      <c r="L173" s="145">
        <f>J173/D173</f>
        <v/>
      </c>
    </row>
    <row r="174" hidden="1" ht="15.6" customHeight="1" s="170">
      <c r="A174" s="93" t="inlineStr">
        <is>
          <t>木姜子鸡爪</t>
        </is>
      </c>
      <c r="B174" s="92" t="inlineStr">
        <is>
          <t>鸡爪</t>
        </is>
      </c>
      <c r="C174" s="92">
        <f>VLOOKUP(B174,原材料价格表!$B$2:$J$242,9,)</f>
        <v/>
      </c>
      <c r="D174" s="92">
        <f>VLOOKUP(B174,原材料价格表!$B$2:$G$436,2,0)</f>
        <v/>
      </c>
      <c r="E174" s="92">
        <f>VLOOKUP(B174,原材料价格表!$B$2:$G$436,3,0)</f>
        <v/>
      </c>
      <c r="F174" s="122">
        <f>VLOOKUP(B174,原材料价格表!$B$2:$G$436,6,0)</f>
        <v/>
      </c>
      <c r="G174" s="92">
        <f>VLOOKUP(B174,原材料价格表!$B$2:$G$436,5,0)</f>
        <v/>
      </c>
      <c r="H174" s="123" t="n">
        <v>0.75</v>
      </c>
      <c r="I174" s="124">
        <f>F174/G174/H174</f>
        <v/>
      </c>
      <c r="J174" s="92" t="n">
        <v>150</v>
      </c>
      <c r="K174" s="124">
        <f>I174*J174</f>
        <v/>
      </c>
      <c r="L174" s="92" t="n"/>
    </row>
    <row r="175" hidden="1" ht="15.6" customHeight="1" s="170">
      <c r="A175" s="173" t="n"/>
      <c r="B175" s="92" t="inlineStr">
        <is>
          <t>大蒜</t>
        </is>
      </c>
      <c r="C175" s="92">
        <f>VLOOKUP(B175,原材料价格表!$B$2:$J$242,9,)</f>
        <v/>
      </c>
      <c r="D175" s="92">
        <f>VLOOKUP(B175,原材料价格表!$B$2:$G$436,2,0)</f>
        <v/>
      </c>
      <c r="E175" s="92">
        <f>VLOOKUP(B175,原材料价格表!$B$2:$G$436,3,0)</f>
        <v/>
      </c>
      <c r="F175" s="122">
        <f>VLOOKUP(B175,原材料价格表!$B$2:$G$436,6,0)</f>
        <v/>
      </c>
      <c r="G175" s="92">
        <f>VLOOKUP(B175,原材料价格表!$B$2:$G$436,5,0)</f>
        <v/>
      </c>
      <c r="H175" s="123" t="n">
        <v>1</v>
      </c>
      <c r="I175" s="124">
        <f>F175/G175/H175</f>
        <v/>
      </c>
      <c r="J175" s="92" t="n">
        <v>45</v>
      </c>
      <c r="K175" s="124">
        <f>I175*J175</f>
        <v/>
      </c>
      <c r="L175" s="92" t="n"/>
    </row>
    <row r="176" hidden="1" ht="15.6" customHeight="1" s="170">
      <c r="A176" s="173" t="n"/>
      <c r="B176" s="94" t="inlineStr">
        <is>
          <t>黄柠檬</t>
        </is>
      </c>
      <c r="C176" s="92">
        <f>VLOOKUP(B176,原材料价格表!$B$2:$J$242,9,)</f>
        <v/>
      </c>
      <c r="D176" s="92">
        <f>VLOOKUP(B176,原材料价格表!$B$2:$G$436,2,0)</f>
        <v/>
      </c>
      <c r="E176" s="92">
        <f>VLOOKUP(B176,原材料价格表!$B$2:$G$436,3,0)</f>
        <v/>
      </c>
      <c r="F176" s="122">
        <f>VLOOKUP(B176,原材料价格表!$B$2:$G$436,6,0)</f>
        <v/>
      </c>
      <c r="G176" s="92">
        <f>VLOOKUP(B176,原材料价格表!$B$2:$G$436,5,0)</f>
        <v/>
      </c>
      <c r="H176" s="123" t="n">
        <v>1</v>
      </c>
      <c r="I176" s="124">
        <f>F176/G176/H176</f>
        <v/>
      </c>
      <c r="J176" s="92" t="n">
        <v>40</v>
      </c>
      <c r="K176" s="124">
        <f>I176*J176</f>
        <v/>
      </c>
      <c r="L176" s="92" t="n"/>
    </row>
    <row r="177" hidden="1" ht="15.6" customHeight="1" s="170">
      <c r="A177" s="173" t="n"/>
      <c r="B177" s="92" t="inlineStr">
        <is>
          <t>东古酱油</t>
        </is>
      </c>
      <c r="C177" s="92">
        <f>VLOOKUP(B177,原材料价格表!$B$2:$J$242,9,)</f>
        <v/>
      </c>
      <c r="D177" s="92">
        <f>VLOOKUP(B177,原材料价格表!$B$2:$G$436,2,0)</f>
        <v/>
      </c>
      <c r="E177" s="92">
        <f>VLOOKUP(B177,原材料价格表!$B$2:$G$436,3,0)</f>
        <v/>
      </c>
      <c r="F177" s="122">
        <f>VLOOKUP(B177,原材料价格表!$B$2:$G$436,6,0)</f>
        <v/>
      </c>
      <c r="G177" s="92">
        <f>VLOOKUP(B177,原材料价格表!$B$2:$G$436,5,0)</f>
        <v/>
      </c>
      <c r="H177" s="123" t="n">
        <v>1</v>
      </c>
      <c r="I177" s="124">
        <f>F177/G177/H177</f>
        <v/>
      </c>
      <c r="J177" s="92" t="n">
        <v>95</v>
      </c>
      <c r="K177" s="124">
        <f>I177*J177</f>
        <v/>
      </c>
      <c r="L177" s="92" t="n"/>
    </row>
    <row r="178" hidden="1" ht="15.6" customHeight="1" s="170">
      <c r="A178" s="173" t="n"/>
      <c r="B178" s="92" t="inlineStr">
        <is>
          <t>陈醋</t>
        </is>
      </c>
      <c r="C178" s="92">
        <f>VLOOKUP(B178,原材料价格表!$B$2:$J$242,9,)</f>
        <v/>
      </c>
      <c r="D178" s="92">
        <f>VLOOKUP(B178,原材料价格表!$B$2:$G$436,2,0)</f>
        <v/>
      </c>
      <c r="E178" s="92">
        <f>VLOOKUP(B178,原材料价格表!$B$2:$G$436,3,0)</f>
        <v/>
      </c>
      <c r="F178" s="122">
        <f>VLOOKUP(B178,原材料价格表!$B$2:$G$436,6,0)</f>
        <v/>
      </c>
      <c r="G178" s="92">
        <f>VLOOKUP(B178,原材料价格表!$B$2:$G$436,5,0)</f>
        <v/>
      </c>
      <c r="H178" s="123" t="n">
        <v>1</v>
      </c>
      <c r="I178" s="124">
        <f>F178/G178/H178</f>
        <v/>
      </c>
      <c r="J178" s="92" t="n">
        <v>13</v>
      </c>
      <c r="K178" s="124">
        <f>I178*J178</f>
        <v/>
      </c>
      <c r="L178" s="92" t="n"/>
    </row>
    <row r="179" hidden="1" ht="15.6" customHeight="1" s="170">
      <c r="A179" s="173" t="n"/>
      <c r="B179" s="92" t="inlineStr">
        <is>
          <t>蚝油</t>
        </is>
      </c>
      <c r="C179" s="92">
        <f>VLOOKUP(B179,原材料价格表!$B$2:$J$242,9,)</f>
        <v/>
      </c>
      <c r="D179" s="92">
        <f>VLOOKUP(B179,原材料价格表!$B$2:$G$436,2,0)</f>
        <v/>
      </c>
      <c r="E179" s="92">
        <f>VLOOKUP(B179,原材料价格表!$B$2:$G$436,3,0)</f>
        <v/>
      </c>
      <c r="F179" s="122">
        <f>VLOOKUP(B179,原材料价格表!$B$2:$G$436,6,0)</f>
        <v/>
      </c>
      <c r="G179" s="92">
        <f>VLOOKUP(B179,原材料价格表!$B$2:$G$436,5,0)</f>
        <v/>
      </c>
      <c r="H179" s="123" t="n">
        <v>1</v>
      </c>
      <c r="I179" s="124">
        <f>F179/G179/H179</f>
        <v/>
      </c>
      <c r="J179" s="92" t="n">
        <v>12</v>
      </c>
      <c r="K179" s="124">
        <f>I179*J179</f>
        <v/>
      </c>
      <c r="L179" s="92" t="n"/>
    </row>
    <row r="180" hidden="1" ht="15.6" customHeight="1" s="170">
      <c r="A180" s="173" t="n"/>
      <c r="B180" s="92" t="inlineStr">
        <is>
          <t>白糖</t>
        </is>
      </c>
      <c r="C180" s="92">
        <f>VLOOKUP(B180,原材料价格表!$B$2:$J$242,9,)</f>
        <v/>
      </c>
      <c r="D180" s="92">
        <f>VLOOKUP(B180,原材料价格表!$B$2:$G$436,2,0)</f>
        <v/>
      </c>
      <c r="E180" s="92">
        <f>VLOOKUP(B180,原材料价格表!$B$2:$G$436,3,0)</f>
        <v/>
      </c>
      <c r="F180" s="122">
        <f>VLOOKUP(B180,原材料价格表!$B$2:$G$436,6,0)</f>
        <v/>
      </c>
      <c r="G180" s="92">
        <f>VLOOKUP(B180,原材料价格表!$B$2:$G$436,5,0)</f>
        <v/>
      </c>
      <c r="H180" s="123" t="n">
        <v>1</v>
      </c>
      <c r="I180" s="124">
        <f>F180/G180/H180</f>
        <v/>
      </c>
      <c r="J180" s="92" t="n">
        <v>5</v>
      </c>
      <c r="K180" s="124">
        <f>I180*J180</f>
        <v/>
      </c>
      <c r="L180" s="92" t="n"/>
    </row>
    <row r="181" hidden="1" ht="17.6" customHeight="1" s="170">
      <c r="A181" s="173" t="n"/>
      <c r="B181" s="92" t="inlineStr">
        <is>
          <t>红油</t>
        </is>
      </c>
      <c r="C181" s="92">
        <f>VLOOKUP(B181,原材料价格表!$B$2:$J$242,9,)</f>
        <v/>
      </c>
      <c r="D181" s="92">
        <f>VLOOKUP(B181,原材料价格表!$B$2:$G$436,2,0)</f>
        <v/>
      </c>
      <c r="E181" s="92">
        <f>VLOOKUP(B181,原材料价格表!$B$2:$G$436,3,0)</f>
        <v/>
      </c>
      <c r="F181" s="122">
        <f>VLOOKUP(B181,原材料价格表!$B$2:$G$436,6,0)</f>
        <v/>
      </c>
      <c r="G181" s="92">
        <f>VLOOKUP(B181,原材料价格表!$B$2:$G$436,5,0)</f>
        <v/>
      </c>
      <c r="H181" s="123" t="n">
        <v>1</v>
      </c>
      <c r="I181" s="124">
        <f>F181/G181/H181</f>
        <v/>
      </c>
      <c r="J181" s="92" t="n">
        <v>95</v>
      </c>
      <c r="K181" s="124">
        <f>I181*J181</f>
        <v/>
      </c>
      <c r="L181" s="145" t="n"/>
    </row>
    <row r="182" hidden="1" ht="17.6" customHeight="1" s="170">
      <c r="A182" s="173" t="n"/>
      <c r="B182" s="92" t="inlineStr">
        <is>
          <t>泡野山椒</t>
        </is>
      </c>
      <c r="C182" s="92">
        <f>VLOOKUP(B182,原材料价格表!$B$2:$J$242,9,)</f>
        <v/>
      </c>
      <c r="D182" s="92">
        <f>VLOOKUP(B182,原材料价格表!$B$2:$G$436,2,0)</f>
        <v/>
      </c>
      <c r="E182" s="92">
        <f>VLOOKUP(B182,原材料价格表!$B$2:$G$436,3,0)</f>
        <v/>
      </c>
      <c r="F182" s="122">
        <f>VLOOKUP(B182,原材料价格表!$B$2:$G$436,6,0)</f>
        <v/>
      </c>
      <c r="G182" s="92">
        <f>VLOOKUP(B182,原材料价格表!$B$2:$G$436,5,0)</f>
        <v/>
      </c>
      <c r="H182" s="123" t="n">
        <v>1</v>
      </c>
      <c r="I182" s="124">
        <f>F182/G182/H182</f>
        <v/>
      </c>
      <c r="J182" s="92" t="n">
        <v>125</v>
      </c>
      <c r="K182" s="124">
        <f>I182*J182</f>
        <v/>
      </c>
      <c r="L182" s="145" t="n"/>
    </row>
    <row r="183" hidden="1" ht="17.6" customHeight="1" s="170">
      <c r="A183" s="173" t="n"/>
      <c r="B183" s="92" t="inlineStr">
        <is>
          <t>木姜子油</t>
        </is>
      </c>
      <c r="C183" s="92">
        <f>VLOOKUP(B183,原材料价格表!$B$2:$J$242,9,)</f>
        <v/>
      </c>
      <c r="D183" s="92">
        <f>VLOOKUP(B183,原材料价格表!$B$2:$G$436,2,0)</f>
        <v/>
      </c>
      <c r="E183" s="92">
        <f>VLOOKUP(B183,原材料价格表!$B$2:$G$436,3,0)</f>
        <v/>
      </c>
      <c r="F183" s="122">
        <f>VLOOKUP(B183,原材料价格表!$B$2:$G$436,6,0)</f>
        <v/>
      </c>
      <c r="G183" s="92">
        <f>VLOOKUP(B183,原材料价格表!$B$2:$G$436,5,0)</f>
        <v/>
      </c>
      <c r="H183" s="123" t="n">
        <v>1</v>
      </c>
      <c r="I183" s="124">
        <f>F183/G183/H183</f>
        <v/>
      </c>
      <c r="J183" s="92" t="n">
        <v>10</v>
      </c>
      <c r="K183" s="124">
        <f>I183*J183</f>
        <v/>
      </c>
      <c r="L183" s="145" t="n"/>
    </row>
    <row r="184" hidden="1" ht="17.6" customHeight="1" s="170">
      <c r="A184" s="173" t="n"/>
      <c r="B184" s="92" t="inlineStr">
        <is>
          <t>藤椒油</t>
        </is>
      </c>
      <c r="C184" s="92">
        <f>VLOOKUP(B184,原材料价格表!$B$2:$J$242,9,)</f>
        <v/>
      </c>
      <c r="D184" s="92">
        <f>VLOOKUP(B184,原材料价格表!$B$2:$G$436,2,0)</f>
        <v/>
      </c>
      <c r="E184" s="92">
        <f>VLOOKUP(B184,原材料价格表!$B$2:$G$436,3,0)</f>
        <v/>
      </c>
      <c r="F184" s="122">
        <f>VLOOKUP(B184,原材料价格表!$B$2:$G$436,6,0)</f>
        <v/>
      </c>
      <c r="G184" s="92">
        <f>VLOOKUP(B184,原材料价格表!$B$2:$G$436,5,0)</f>
        <v/>
      </c>
      <c r="H184" s="123" t="n">
        <v>1</v>
      </c>
      <c r="I184" s="124">
        <f>F184/G184/H184</f>
        <v/>
      </c>
      <c r="J184" s="92" t="n">
        <v>5</v>
      </c>
      <c r="K184" s="124">
        <f>I184*J184</f>
        <v/>
      </c>
      <c r="L184" s="145" t="n"/>
    </row>
    <row r="185" hidden="1" ht="17.6" customHeight="1" s="170">
      <c r="A185" s="173" t="n"/>
      <c r="B185" s="92" t="inlineStr">
        <is>
          <t>鲜花椒</t>
        </is>
      </c>
      <c r="C185" s="92">
        <f>VLOOKUP(B185,原材料价格表!$B$2:$J$242,9,)</f>
        <v/>
      </c>
      <c r="D185" s="92">
        <f>VLOOKUP(B185,原材料价格表!$B$2:$G$436,2,0)</f>
        <v/>
      </c>
      <c r="E185" s="92">
        <f>VLOOKUP(B185,原材料价格表!$B$2:$G$436,3,0)</f>
        <v/>
      </c>
      <c r="F185" s="122">
        <f>VLOOKUP(B185,原材料价格表!$B$2:$G$436,6,0)</f>
        <v/>
      </c>
      <c r="G185" s="92">
        <f>VLOOKUP(B185,原材料价格表!$B$2:$G$436,5,0)</f>
        <v/>
      </c>
      <c r="H185" s="123" t="n">
        <v>1</v>
      </c>
      <c r="I185" s="124">
        <f>F185/G185/H185</f>
        <v/>
      </c>
      <c r="J185" s="92" t="n">
        <v>20</v>
      </c>
      <c r="K185" s="124">
        <f>I185*J185</f>
        <v/>
      </c>
      <c r="L185" s="145" t="n"/>
    </row>
    <row r="186" hidden="1" ht="17.6" customHeight="1" s="170">
      <c r="A186" s="173" t="n"/>
      <c r="B186" s="156" t="inlineStr">
        <is>
          <t>青柠檬汁</t>
        </is>
      </c>
      <c r="C186" s="92">
        <f>VLOOKUP(B186,原材料价格表!$B$2:$J$242,9,)</f>
        <v/>
      </c>
      <c r="D186" s="92">
        <f>VLOOKUP(B186,原材料价格表!$B$2:$G$436,2,0)</f>
        <v/>
      </c>
      <c r="E186" s="92">
        <f>VLOOKUP(B186,原材料价格表!$B$2:$G$436,3,0)</f>
        <v/>
      </c>
      <c r="F186" s="122">
        <f>H190</f>
        <v/>
      </c>
      <c r="G186" s="92">
        <f>F190</f>
        <v/>
      </c>
      <c r="H186" s="123" t="n">
        <v>1</v>
      </c>
      <c r="I186" s="124">
        <f>F186/G186/H186</f>
        <v/>
      </c>
      <c r="J186" s="92" t="n">
        <v>50</v>
      </c>
      <c r="K186" s="124">
        <f>I186*J186</f>
        <v/>
      </c>
      <c r="L186" s="145" t="n"/>
    </row>
    <row r="187" hidden="1" ht="18" customHeight="1" s="170">
      <c r="A187" s="174" t="n"/>
      <c r="B187" s="95" t="inlineStr">
        <is>
          <t>售价</t>
        </is>
      </c>
      <c r="C187" s="92" t="n"/>
      <c r="D187" s="175" t="n">
        <v>32</v>
      </c>
      <c r="E187" s="95" t="inlineStr">
        <is>
          <t>售卖份量/g</t>
        </is>
      </c>
      <c r="F187" s="125">
        <f>SUM(J174:J186)</f>
        <v/>
      </c>
      <c r="G187" s="93" t="inlineStr">
        <is>
          <t>总成本（元）</t>
        </is>
      </c>
      <c r="H187" s="176">
        <f>SUM(K174:K186)</f>
        <v/>
      </c>
      <c r="I187" s="127" t="inlineStr">
        <is>
          <t>毛利/元</t>
        </is>
      </c>
      <c r="J187" s="127">
        <f>D187-H187</f>
        <v/>
      </c>
      <c r="K187" s="127" t="inlineStr">
        <is>
          <t>毛利率</t>
        </is>
      </c>
      <c r="L187" s="145">
        <f>J187/D187</f>
        <v/>
      </c>
    </row>
    <row r="188" ht="15.6" customHeight="1" s="170">
      <c r="A188" s="152" t="inlineStr">
        <is>
          <t>青柠檬汁（半成品）</t>
        </is>
      </c>
      <c r="B188" s="164" t="inlineStr">
        <is>
          <t>家乐柠檬粉</t>
        </is>
      </c>
      <c r="C188" s="82">
        <f>VLOOKUP(B188,原材料价格表!$B$2:$J$242,9,)</f>
        <v/>
      </c>
      <c r="D188" s="153">
        <f>VLOOKUP(B188,原材料价格表!$B$2:$G$436,2,0)</f>
        <v/>
      </c>
      <c r="E188" s="153">
        <f>VLOOKUP(B188,原材料价格表!$B$2:$G$436,3,0)</f>
        <v/>
      </c>
      <c r="F188" s="157">
        <f>VLOOKUP(B188,原材料价格表!$B$2:$G$436,6,0)</f>
        <v/>
      </c>
      <c r="G188" s="153">
        <f>VLOOKUP(B188,原材料价格表!$B$2:$G$436,5,0)</f>
        <v/>
      </c>
      <c r="H188" s="158" t="n">
        <v>1</v>
      </c>
      <c r="I188" s="161">
        <f>F188/G188/H188</f>
        <v/>
      </c>
      <c r="J188" s="153" t="n">
        <v>400</v>
      </c>
      <c r="K188" s="161">
        <f>I188*J188</f>
        <v/>
      </c>
      <c r="L188" s="153" t="n"/>
    </row>
    <row r="189" ht="15.6" customHeight="1" s="170">
      <c r="A189" s="173" t="n"/>
      <c r="B189" s="153" t="inlineStr">
        <is>
          <t>水</t>
        </is>
      </c>
      <c r="C189" s="82">
        <f>VLOOKUP(B189,原材料价格表!$B$2:$J$242,9,)</f>
        <v/>
      </c>
      <c r="D189" s="153">
        <f>VLOOKUP(B189,原材料价格表!$B$2:$G$436,2,0)</f>
        <v/>
      </c>
      <c r="E189" s="153">
        <f>VLOOKUP(B189,原材料价格表!$B$2:$G$436,3,0)</f>
        <v/>
      </c>
      <c r="F189" s="157">
        <f>VLOOKUP(B189,原材料价格表!$B$2:$G$436,6,0)</f>
        <v/>
      </c>
      <c r="G189" s="153">
        <f>VLOOKUP(B189,原材料价格表!$B$2:$G$436,5,0)</f>
        <v/>
      </c>
      <c r="H189" s="158" t="n">
        <v>1</v>
      </c>
      <c r="I189" s="161">
        <f>F189/G189/H189</f>
        <v/>
      </c>
      <c r="J189" s="153" t="n">
        <v>1000</v>
      </c>
      <c r="K189" s="161">
        <f>I189*J189</f>
        <v/>
      </c>
      <c r="L189" s="153" t="n"/>
    </row>
    <row r="190" ht="18" customHeight="1" s="170">
      <c r="A190" s="174" t="n"/>
      <c r="B190" s="154" t="inlineStr">
        <is>
          <t>售价</t>
        </is>
      </c>
      <c r="C190" s="82" t="n"/>
      <c r="D190" s="179" t="n"/>
      <c r="E190" s="154" t="inlineStr">
        <is>
          <t>售卖份量/g</t>
        </is>
      </c>
      <c r="F190" s="159">
        <f>SUM(J188:J189)</f>
        <v/>
      </c>
      <c r="G190" s="152" t="inlineStr">
        <is>
          <t>总成本（元）</t>
        </is>
      </c>
      <c r="H190" s="180">
        <f>SUM(K188:K189)</f>
        <v/>
      </c>
      <c r="I190" s="163" t="inlineStr">
        <is>
          <t>毛利/元</t>
        </is>
      </c>
      <c r="J190" s="163">
        <f>D190-H190</f>
        <v/>
      </c>
      <c r="K190" s="163" t="inlineStr">
        <is>
          <t>毛利率</t>
        </is>
      </c>
      <c r="L190" s="162">
        <f>J190/D190</f>
        <v/>
      </c>
    </row>
    <row r="191" ht="15.6" customHeight="1" s="170">
      <c r="A191" s="152" t="inlineStr">
        <is>
          <t>酸辣酱（半成品）</t>
        </is>
      </c>
      <c r="B191" s="153" t="inlineStr">
        <is>
          <t>大蒜</t>
        </is>
      </c>
      <c r="C191" s="82">
        <f>VLOOKUP(B191,原材料价格表!$B$2:$J$242,9,)</f>
        <v/>
      </c>
      <c r="D191" s="153">
        <f>VLOOKUP(B191,原材料价格表!$B$2:$G$436,2,0)</f>
        <v/>
      </c>
      <c r="E191" s="153">
        <f>VLOOKUP(B191,原材料价格表!$B$2:$G$436,3,0)</f>
        <v/>
      </c>
      <c r="F191" s="157">
        <f>VLOOKUP(B191,原材料价格表!$B$2:$G$436,6,0)</f>
        <v/>
      </c>
      <c r="G191" s="153">
        <f>VLOOKUP(B191,原材料价格表!$B$2:$G$436,5,0)</f>
        <v/>
      </c>
      <c r="H191" s="158" t="n">
        <v>1</v>
      </c>
      <c r="I191" s="161">
        <f>F191/G191/H191</f>
        <v/>
      </c>
      <c r="J191" s="153" t="n">
        <v>150</v>
      </c>
      <c r="K191" s="161">
        <f>I191*J191</f>
        <v/>
      </c>
      <c r="L191" s="153" t="n"/>
    </row>
    <row r="192" ht="15.6" customHeight="1" s="170">
      <c r="A192" s="173" t="n"/>
      <c r="B192" s="153" t="inlineStr">
        <is>
          <t>小米辣</t>
        </is>
      </c>
      <c r="C192" s="82">
        <f>VLOOKUP(B192,原材料价格表!$B$2:$J$242,9,)</f>
        <v/>
      </c>
      <c r="D192" s="153">
        <f>VLOOKUP(B192,原材料价格表!$B$2:$G$436,2,0)</f>
        <v/>
      </c>
      <c r="E192" s="153">
        <f>VLOOKUP(B192,原材料价格表!$B$2:$G$436,3,0)</f>
        <v/>
      </c>
      <c r="F192" s="157">
        <f>VLOOKUP(B192,原材料价格表!$B$2:$G$436,6,0)</f>
        <v/>
      </c>
      <c r="G192" s="153">
        <f>VLOOKUP(B192,原材料价格表!$B$2:$G$436,5,0)</f>
        <v/>
      </c>
      <c r="H192" s="158" t="n">
        <v>0.9</v>
      </c>
      <c r="I192" s="161">
        <f>F192/G192/H192</f>
        <v/>
      </c>
      <c r="J192" s="153" t="n">
        <v>50</v>
      </c>
      <c r="K192" s="161">
        <f>I192*J192</f>
        <v/>
      </c>
      <c r="L192" s="153" t="n"/>
    </row>
    <row r="193" ht="15.6" customHeight="1" s="170">
      <c r="A193" s="173" t="n"/>
      <c r="B193" s="153" t="inlineStr">
        <is>
          <t>香菜</t>
        </is>
      </c>
      <c r="C193" s="82">
        <f>VLOOKUP(B193,原材料价格表!$B$2:$J$242,9,)</f>
        <v/>
      </c>
      <c r="D193" s="153">
        <f>VLOOKUP(B193,原材料价格表!$B$2:$G$436,2,0)</f>
        <v/>
      </c>
      <c r="E193" s="153">
        <f>VLOOKUP(B193,原材料价格表!$B$2:$G$436,3,0)</f>
        <v/>
      </c>
      <c r="F193" s="157">
        <f>VLOOKUP(B193,原材料价格表!$B$2:$G$436,6,0)</f>
        <v/>
      </c>
      <c r="G193" s="153">
        <f>VLOOKUP(B193,原材料价格表!$B$2:$G$436,5,0)</f>
        <v/>
      </c>
      <c r="H193" s="158" t="n">
        <v>0.95</v>
      </c>
      <c r="I193" s="161">
        <f>F193/G193/H193</f>
        <v/>
      </c>
      <c r="J193" s="153" t="n">
        <v>20</v>
      </c>
      <c r="K193" s="161">
        <f>I193*J193</f>
        <v/>
      </c>
      <c r="L193" s="153" t="n"/>
    </row>
    <row r="194" ht="15.6" customHeight="1" s="170">
      <c r="A194" s="173" t="n"/>
      <c r="B194" s="153" t="inlineStr">
        <is>
          <t>鱼露</t>
        </is>
      </c>
      <c r="C194" s="82">
        <f>VLOOKUP(B194,原材料价格表!$B$2:$J$242,9,)</f>
        <v/>
      </c>
      <c r="D194" s="153">
        <f>VLOOKUP(B194,原材料价格表!$B$2:$G$436,2,0)</f>
        <v/>
      </c>
      <c r="E194" s="153">
        <f>VLOOKUP(B194,原材料价格表!$B$2:$G$436,3,0)</f>
        <v/>
      </c>
      <c r="F194" s="157">
        <f>VLOOKUP(B194,原材料价格表!$B$2:$G$436,6,0)</f>
        <v/>
      </c>
      <c r="G194" s="153">
        <f>VLOOKUP(B194,原材料价格表!$B$2:$G$436,5,0)</f>
        <v/>
      </c>
      <c r="H194" s="158" t="n">
        <v>1</v>
      </c>
      <c r="I194" s="161">
        <f>F194/G194/H194</f>
        <v/>
      </c>
      <c r="J194" s="153" t="n">
        <v>150</v>
      </c>
      <c r="K194" s="161">
        <f>I194*J194</f>
        <v/>
      </c>
      <c r="L194" s="153" t="n"/>
    </row>
    <row r="195" ht="15.6" customHeight="1" s="170">
      <c r="A195" s="173" t="n"/>
      <c r="B195" s="165" t="inlineStr">
        <is>
          <t>青柠檬汁</t>
        </is>
      </c>
      <c r="C195" s="92">
        <f>VLOOKUP(B195,原材料价格表!$B$2:$J$242,9,)</f>
        <v/>
      </c>
      <c r="D195" s="153">
        <f>VLOOKUP(B195,原材料价格表!$B$2:$G$436,2,0)</f>
        <v/>
      </c>
      <c r="E195" s="153">
        <f>VLOOKUP(B195,原材料价格表!$B$2:$G$436,3,0)</f>
        <v/>
      </c>
      <c r="F195" s="157">
        <f>H190</f>
        <v/>
      </c>
      <c r="G195" s="153">
        <f>F190</f>
        <v/>
      </c>
      <c r="H195" s="158" t="n">
        <v>1</v>
      </c>
      <c r="I195" s="161">
        <f>F195/G195/H195</f>
        <v/>
      </c>
      <c r="J195" s="153" t="n">
        <v>250</v>
      </c>
      <c r="K195" s="161">
        <f>I195*J195</f>
        <v/>
      </c>
      <c r="L195" s="153" t="n"/>
    </row>
    <row r="196" ht="15.6" customHeight="1" s="170">
      <c r="A196" s="173" t="n"/>
      <c r="B196" s="153" t="inlineStr">
        <is>
          <t>白糖</t>
        </is>
      </c>
      <c r="C196" s="82">
        <f>VLOOKUP(B196,原材料价格表!$B$2:$J$242,9,)</f>
        <v/>
      </c>
      <c r="D196" s="153">
        <f>VLOOKUP(B196,原材料价格表!$B$2:$G$436,2,0)</f>
        <v/>
      </c>
      <c r="E196" s="153">
        <f>VLOOKUP(B196,原材料价格表!$B$2:$G$436,3,0)</f>
        <v/>
      </c>
      <c r="F196" s="157">
        <f>VLOOKUP(B196,原材料价格表!$B$2:$G$436,6,0)</f>
        <v/>
      </c>
      <c r="G196" s="153">
        <f>VLOOKUP(B196,原材料价格表!$B$2:$G$436,5,0)</f>
        <v/>
      </c>
      <c r="H196" s="158" t="n">
        <v>1</v>
      </c>
      <c r="I196" s="161">
        <f>F196/G196/H196</f>
        <v/>
      </c>
      <c r="J196" s="153" t="n">
        <v>150</v>
      </c>
      <c r="K196" s="161">
        <f>I196*J196</f>
        <v/>
      </c>
      <c r="L196" s="153" t="n"/>
    </row>
    <row r="197" ht="15.6" customHeight="1" s="170">
      <c r="A197" s="173" t="n"/>
      <c r="B197" s="153" t="inlineStr">
        <is>
          <t>味精</t>
        </is>
      </c>
      <c r="C197" s="82">
        <f>VLOOKUP(B197,原材料价格表!$B$2:$J$242,9,)</f>
        <v/>
      </c>
      <c r="D197" s="153">
        <f>VLOOKUP(B197,原材料价格表!$B$2:$G$436,2,0)</f>
        <v/>
      </c>
      <c r="E197" s="153">
        <f>VLOOKUP(B197,原材料价格表!$B$2:$G$436,3,0)</f>
        <v/>
      </c>
      <c r="F197" s="157">
        <f>VLOOKUP(B197,原材料价格表!$B$2:$G$436,6,0)</f>
        <v/>
      </c>
      <c r="G197" s="153">
        <f>VLOOKUP(B197,原材料价格表!$B$2:$G$436,5,0)</f>
        <v/>
      </c>
      <c r="H197" s="158" t="n">
        <v>1</v>
      </c>
      <c r="I197" s="161">
        <f>F197/G197/H197</f>
        <v/>
      </c>
      <c r="J197" s="153" t="n">
        <v>30</v>
      </c>
      <c r="K197" s="161">
        <f>I197*J197</f>
        <v/>
      </c>
      <c r="L197" s="153" t="n"/>
    </row>
    <row r="198" ht="17.6" customHeight="1" s="170">
      <c r="A198" s="173" t="n"/>
      <c r="B198" s="153" t="inlineStr">
        <is>
          <t>蚝油</t>
        </is>
      </c>
      <c r="C198" s="82">
        <f>VLOOKUP(B198,原材料价格表!$B$2:$J$242,9,)</f>
        <v/>
      </c>
      <c r="D198" s="153">
        <f>VLOOKUP(B198,原材料价格表!$B$2:$G$436,2,0)</f>
        <v/>
      </c>
      <c r="E198" s="153">
        <f>VLOOKUP(B198,原材料价格表!$B$2:$G$436,3,0)</f>
        <v/>
      </c>
      <c r="F198" s="157">
        <f>VLOOKUP(B198,原材料价格表!$B$2:$G$436,6,0)</f>
        <v/>
      </c>
      <c r="G198" s="153">
        <f>VLOOKUP(B198,原材料价格表!$B$2:$G$436,5,0)</f>
        <v/>
      </c>
      <c r="H198" s="158" t="n">
        <v>1</v>
      </c>
      <c r="I198" s="161">
        <f>F198/G198/H198</f>
        <v/>
      </c>
      <c r="J198" s="153" t="n">
        <v>8</v>
      </c>
      <c r="K198" s="161">
        <f>I198*J198</f>
        <v/>
      </c>
      <c r="L198" s="162" t="n"/>
    </row>
    <row r="199" ht="18" customHeight="1" s="170">
      <c r="A199" s="174" t="n"/>
      <c r="B199" s="154" t="inlineStr">
        <is>
          <t>售价</t>
        </is>
      </c>
      <c r="C199" s="82" t="n"/>
      <c r="D199" s="179" t="n"/>
      <c r="E199" s="154" t="inlineStr">
        <is>
          <t>售卖份量/g</t>
        </is>
      </c>
      <c r="F199" s="159">
        <f>SUM(J191:J198)</f>
        <v/>
      </c>
      <c r="G199" s="152" t="inlineStr">
        <is>
          <t>总成本（元）</t>
        </is>
      </c>
      <c r="H199" s="180">
        <f>SUM(K191:K198)</f>
        <v/>
      </c>
      <c r="I199" s="163" t="inlineStr">
        <is>
          <t>毛利/元</t>
        </is>
      </c>
      <c r="J199" s="163">
        <f>D199-H199</f>
        <v/>
      </c>
      <c r="K199" s="163" t="inlineStr">
        <is>
          <t>毛利率</t>
        </is>
      </c>
      <c r="L199" s="162">
        <f>J199/D199</f>
        <v/>
      </c>
    </row>
    <row r="200" ht="15.6" customHeight="1" s="170">
      <c r="A200" s="152" t="inlineStr">
        <is>
          <t>混合香草（半成品）</t>
        </is>
      </c>
      <c r="B200" s="153" t="inlineStr">
        <is>
          <t>大香菜</t>
        </is>
      </c>
      <c r="C200" s="82">
        <f>VLOOKUP(B200,原材料价格表!$B$2:$J$242,9,)</f>
        <v/>
      </c>
      <c r="D200" s="153">
        <f>VLOOKUP(B200,原材料价格表!$B$2:$G$436,2,0)</f>
        <v/>
      </c>
      <c r="E200" s="153">
        <f>VLOOKUP(B200,原材料价格表!$B$2:$G$436,3,0)</f>
        <v/>
      </c>
      <c r="F200" s="157">
        <f>VLOOKUP(B200,原材料价格表!$B$2:$G$436,6,0)</f>
        <v/>
      </c>
      <c r="G200" s="153">
        <f>VLOOKUP(B200,原材料价格表!$B$2:$G$436,5,0)</f>
        <v/>
      </c>
      <c r="H200" s="158" t="n">
        <v>0.9</v>
      </c>
      <c r="I200" s="161">
        <f>F200/G200/H200</f>
        <v/>
      </c>
      <c r="J200" s="153" t="n">
        <v>100</v>
      </c>
      <c r="K200" s="161">
        <f>I200*J200</f>
        <v/>
      </c>
      <c r="L200" s="153" t="n"/>
    </row>
    <row r="201" ht="15.6" customHeight="1" s="170">
      <c r="A201" s="173" t="n"/>
      <c r="B201" s="153" t="inlineStr">
        <is>
          <t>香菜</t>
        </is>
      </c>
      <c r="C201" s="82">
        <f>VLOOKUP(B201,原材料价格表!$B$2:$J$242,9,)</f>
        <v/>
      </c>
      <c r="D201" s="153">
        <f>VLOOKUP(B201,原材料价格表!$B$2:$G$436,2,0)</f>
        <v/>
      </c>
      <c r="E201" s="153">
        <f>VLOOKUP(B201,原材料价格表!$B$2:$G$436,3,0)</f>
        <v/>
      </c>
      <c r="F201" s="157">
        <f>VLOOKUP(B201,原材料价格表!$B$2:$G$436,6,0)</f>
        <v/>
      </c>
      <c r="G201" s="153">
        <f>VLOOKUP(B201,原材料价格表!$B$2:$G$436,5,0)</f>
        <v/>
      </c>
      <c r="H201" s="158" t="n">
        <v>0.9</v>
      </c>
      <c r="I201" s="161">
        <f>F201/G201/H201</f>
        <v/>
      </c>
      <c r="J201" s="153" t="n">
        <v>100</v>
      </c>
      <c r="K201" s="161">
        <f>I201*J201</f>
        <v/>
      </c>
      <c r="L201" s="153" t="n"/>
    </row>
    <row r="202" ht="15.6" customHeight="1" s="170">
      <c r="A202" s="173" t="n"/>
      <c r="B202" s="153" t="inlineStr">
        <is>
          <t>茴香苗</t>
        </is>
      </c>
      <c r="C202" s="82">
        <f>VLOOKUP(B202,原材料价格表!$B$2:$J$242,9,)</f>
        <v/>
      </c>
      <c r="D202" s="153">
        <f>VLOOKUP(B202,原材料价格表!$B$2:$G$436,2,0)</f>
        <v/>
      </c>
      <c r="E202" s="153">
        <f>VLOOKUP(B202,原材料价格表!$B$2:$G$436,3,0)</f>
        <v/>
      </c>
      <c r="F202" s="157">
        <f>VLOOKUP(B202,原材料价格表!$B$2:$G$436,6,0)</f>
        <v/>
      </c>
      <c r="G202" s="153">
        <f>VLOOKUP(B202,原材料价格表!$B$2:$G$436,5,0)</f>
        <v/>
      </c>
      <c r="H202" s="158" t="n">
        <v>0.9</v>
      </c>
      <c r="I202" s="161">
        <f>F202/G202/H202</f>
        <v/>
      </c>
      <c r="J202" s="153" t="n">
        <v>100</v>
      </c>
      <c r="K202" s="161">
        <f>I202*J202</f>
        <v/>
      </c>
      <c r="L202" s="153" t="n"/>
    </row>
    <row r="203" ht="18" customHeight="1" s="170">
      <c r="A203" s="174" t="n"/>
      <c r="B203" s="154" t="inlineStr">
        <is>
          <t>售价</t>
        </is>
      </c>
      <c r="C203" s="82" t="n"/>
      <c r="D203" s="179" t="n"/>
      <c r="E203" s="154" t="inlineStr">
        <is>
          <t>售卖份量/g</t>
        </is>
      </c>
      <c r="F203" s="159">
        <f>SUM(J200:J202)</f>
        <v/>
      </c>
      <c r="G203" s="152" t="inlineStr">
        <is>
          <t>总成本（元）</t>
        </is>
      </c>
      <c r="H203" s="180">
        <f>SUM(K200:K202)</f>
        <v/>
      </c>
      <c r="I203" s="163" t="inlineStr">
        <is>
          <t>毛利/元</t>
        </is>
      </c>
      <c r="J203" s="163">
        <f>D203-H203</f>
        <v/>
      </c>
      <c r="K203" s="163" t="inlineStr">
        <is>
          <t>毛利率</t>
        </is>
      </c>
      <c r="L203" s="162">
        <f>J203/D203</f>
        <v/>
      </c>
    </row>
    <row r="204" hidden="1" ht="15.6" customHeight="1" s="170">
      <c r="A204" s="93" t="inlineStr">
        <is>
          <t>傣村手撕罗非鱼</t>
        </is>
      </c>
      <c r="B204" s="92" t="inlineStr">
        <is>
          <t>新一代辣椒面</t>
        </is>
      </c>
      <c r="C204" s="92">
        <f>VLOOKUP(B204,原材料价格表!$B$2:$J$242,9,)</f>
        <v/>
      </c>
      <c r="D204" s="92">
        <f>VLOOKUP(B204,原材料价格表!$B$2:$G$436,2,0)</f>
        <v/>
      </c>
      <c r="E204" s="92">
        <f>VLOOKUP(B204,原材料价格表!$B$2:$G$436,3,0)</f>
        <v/>
      </c>
      <c r="F204" s="122">
        <f>VLOOKUP(B204,原材料价格表!$B$2:$G$436,6,0)</f>
        <v/>
      </c>
      <c r="G204" s="92">
        <f>VLOOKUP(B204,原材料价格表!$B$2:$G$436,5,0)</f>
        <v/>
      </c>
      <c r="H204" s="123" t="n">
        <v>1</v>
      </c>
      <c r="I204" s="124">
        <f>F204/G204/H204</f>
        <v/>
      </c>
      <c r="J204" s="92" t="n">
        <v>8</v>
      </c>
      <c r="K204" s="124">
        <f>I204*J204</f>
        <v/>
      </c>
      <c r="L204" s="92" t="n"/>
    </row>
    <row r="205" hidden="1" ht="15.6" customHeight="1" s="170">
      <c r="A205" s="173" t="n"/>
      <c r="B205" s="94" t="inlineStr">
        <is>
          <t>黄柠檬</t>
        </is>
      </c>
      <c r="C205" s="92">
        <f>VLOOKUP(B205,原材料价格表!$B$2:$J$242,9,)</f>
        <v/>
      </c>
      <c r="D205" s="92">
        <f>VLOOKUP(B205,原材料价格表!$B$2:$G$436,2,0)</f>
        <v/>
      </c>
      <c r="E205" s="92">
        <f>VLOOKUP(B205,原材料价格表!$B$2:$G$436,3,0)</f>
        <v/>
      </c>
      <c r="F205" s="122">
        <f>VLOOKUP(B205,原材料价格表!$B$2:$G$436,6,0)</f>
        <v/>
      </c>
      <c r="G205" s="92">
        <f>VLOOKUP(B205,原材料价格表!$B$2:$G$436,5,0)</f>
        <v/>
      </c>
      <c r="H205" s="123" t="n">
        <v>1</v>
      </c>
      <c r="I205" s="124">
        <f>F205/G205/H205</f>
        <v/>
      </c>
      <c r="J205" s="92" t="n">
        <v>15</v>
      </c>
      <c r="K205" s="124">
        <f>I205*J205</f>
        <v/>
      </c>
      <c r="L205" s="92" t="n"/>
    </row>
    <row r="206" hidden="1" ht="15.6" customHeight="1" s="170">
      <c r="A206" s="173" t="n"/>
      <c r="B206" s="92" t="inlineStr">
        <is>
          <t>芭蕉叶</t>
        </is>
      </c>
      <c r="C206" s="92">
        <f>VLOOKUP(B206,原材料价格表!$B$2:$J$242,9,)</f>
        <v/>
      </c>
      <c r="D206" s="92">
        <f>VLOOKUP(B206,原材料价格表!$B$2:$G$436,2,0)</f>
        <v/>
      </c>
      <c r="E206" s="92">
        <f>VLOOKUP(B206,原材料价格表!$B$2:$G$436,3,0)</f>
        <v/>
      </c>
      <c r="F206" s="122">
        <f>VLOOKUP(B206,原材料价格表!$B$2:$G$436,6,0)</f>
        <v/>
      </c>
      <c r="G206" s="92">
        <f>VLOOKUP(B206,原材料价格表!$B$2:$G$436,5,0)</f>
        <v/>
      </c>
      <c r="H206" s="123" t="n">
        <v>0.9</v>
      </c>
      <c r="I206" s="124">
        <f>F206/G206/H206</f>
        <v/>
      </c>
      <c r="J206" s="92" t="n">
        <v>15</v>
      </c>
      <c r="K206" s="124">
        <f>I206*J206</f>
        <v/>
      </c>
      <c r="L206" s="92" t="n"/>
    </row>
    <row r="207" hidden="1" ht="15.6" customHeight="1" s="170">
      <c r="A207" s="173" t="n"/>
      <c r="B207" s="156" t="inlineStr">
        <is>
          <t>酸辣酱</t>
        </is>
      </c>
      <c r="C207" s="92">
        <f>VLOOKUP(B207,原材料价格表!$B$2:$J$242,9,)</f>
        <v/>
      </c>
      <c r="D207" s="92">
        <f>VLOOKUP(B207,原材料价格表!$B$2:$G$436,2,0)</f>
        <v/>
      </c>
      <c r="E207" s="92">
        <f>VLOOKUP(B207,原材料价格表!$B$2:$G$436,3,0)</f>
        <v/>
      </c>
      <c r="F207" s="122">
        <f>H199</f>
        <v/>
      </c>
      <c r="G207" s="92">
        <f>F199</f>
        <v/>
      </c>
      <c r="H207" s="123" t="n">
        <v>1</v>
      </c>
      <c r="I207" s="124">
        <f>F207/G207/H207</f>
        <v/>
      </c>
      <c r="J207" s="92" t="n">
        <v>100</v>
      </c>
      <c r="K207" s="124">
        <f>I207*J207</f>
        <v/>
      </c>
      <c r="L207" s="92" t="n"/>
    </row>
    <row r="208" hidden="1" ht="15.6" customHeight="1" s="170">
      <c r="A208" s="173" t="n"/>
      <c r="B208" s="156" t="inlineStr">
        <is>
          <t>混合香草</t>
        </is>
      </c>
      <c r="C208" s="92">
        <f>VLOOKUP(B208,原材料价格表!$B$2:$J$242,9,)</f>
        <v/>
      </c>
      <c r="D208" s="92">
        <f>VLOOKUP(B208,原材料价格表!$B$2:$G$436,2,0)</f>
        <v/>
      </c>
      <c r="E208" s="92">
        <f>VLOOKUP(B208,原材料价格表!$B$2:$G$436,3,0)</f>
        <v/>
      </c>
      <c r="F208" s="122">
        <f>H203</f>
        <v/>
      </c>
      <c r="G208" s="92">
        <f>F203</f>
        <v/>
      </c>
      <c r="H208" s="123" t="n">
        <v>1</v>
      </c>
      <c r="I208" s="124">
        <f>F208/G208/H208</f>
        <v/>
      </c>
      <c r="J208" s="92" t="n">
        <v>40</v>
      </c>
      <c r="K208" s="124">
        <f>I208*J208</f>
        <v/>
      </c>
      <c r="L208" s="92" t="n"/>
    </row>
    <row r="209" hidden="1" ht="15.6" customHeight="1" s="170">
      <c r="A209" s="173" t="n"/>
      <c r="B209" s="92" t="inlineStr">
        <is>
          <t>罗非鱼</t>
        </is>
      </c>
      <c r="C209" s="92">
        <f>VLOOKUP(B209,原材料价格表!$B$2:$J$242,9,)</f>
        <v/>
      </c>
      <c r="D209" s="92">
        <f>VLOOKUP(B209,原材料价格表!$B$2:$G$436,2,0)</f>
        <v/>
      </c>
      <c r="E209" s="92">
        <f>VLOOKUP(B209,原材料价格表!$B$2:$G$436,3,0)</f>
        <v/>
      </c>
      <c r="F209" s="122">
        <f>VLOOKUP(B209,原材料价格表!$B$2:$G$436,6,0)</f>
        <v/>
      </c>
      <c r="G209" s="92">
        <f>VLOOKUP(B209,原材料价格表!$B$2:$G$436,5,0)</f>
        <v/>
      </c>
      <c r="H209" s="123" t="n">
        <v>1</v>
      </c>
      <c r="I209" s="124">
        <f>F209/G209/H209</f>
        <v/>
      </c>
      <c r="J209" s="92" t="n">
        <v>1</v>
      </c>
      <c r="K209" s="124">
        <f>I209*J209</f>
        <v/>
      </c>
      <c r="L209" s="92" t="n"/>
    </row>
    <row r="210" hidden="1" ht="18" customHeight="1" s="170">
      <c r="A210" s="174" t="n"/>
      <c r="B210" s="95" t="inlineStr">
        <is>
          <t>售价</t>
        </is>
      </c>
      <c r="C210" s="92" t="n"/>
      <c r="D210" s="175" t="n">
        <v>58</v>
      </c>
      <c r="E210" s="95" t="inlineStr">
        <is>
          <t>售卖份量/g</t>
        </is>
      </c>
      <c r="F210" s="125">
        <f>SUM(J204:J209)</f>
        <v/>
      </c>
      <c r="G210" s="93" t="inlineStr">
        <is>
          <t>总成本（元）</t>
        </is>
      </c>
      <c r="H210" s="176">
        <f>SUM(K204:K209)</f>
        <v/>
      </c>
      <c r="I210" s="127" t="inlineStr">
        <is>
          <t>毛利/元</t>
        </is>
      </c>
      <c r="J210" s="127">
        <f>D210-H210</f>
        <v/>
      </c>
      <c r="K210" s="127" t="inlineStr">
        <is>
          <t>毛利率</t>
        </is>
      </c>
      <c r="L210" s="145">
        <f>J210/D210</f>
        <v/>
      </c>
    </row>
    <row r="211" hidden="1" ht="15.6" customHeight="1" s="170">
      <c r="A211" s="93" t="inlineStr">
        <is>
          <t>贵州非遗丝娃娃</t>
        </is>
      </c>
      <c r="B211" s="92" t="inlineStr">
        <is>
          <t>青笋</t>
        </is>
      </c>
      <c r="C211" s="92">
        <f>VLOOKUP(B211,原材料价格表!$B$2:$J$242,9,)</f>
        <v/>
      </c>
      <c r="D211" s="92">
        <f>VLOOKUP(B211,原材料价格表!$B$2:$G$436,2,0)</f>
        <v/>
      </c>
      <c r="E211" s="92">
        <f>VLOOKUP(B211,原材料价格表!$B$2:$G$436,3,0)</f>
        <v/>
      </c>
      <c r="F211" s="122">
        <f>VLOOKUP(B211,原材料价格表!$B$2:$G$436,6,0)</f>
        <v/>
      </c>
      <c r="G211" s="92">
        <f>VLOOKUP(B211,原材料价格表!$B$2:$G$436,5,0)</f>
        <v/>
      </c>
      <c r="H211" s="123" t="n">
        <v>0.9</v>
      </c>
      <c r="I211" s="124">
        <f>F211/G211/H211</f>
        <v/>
      </c>
      <c r="J211" s="92" t="n">
        <v>30</v>
      </c>
      <c r="K211" s="124">
        <f>I211*J211</f>
        <v/>
      </c>
      <c r="L211" s="92" t="n"/>
    </row>
    <row r="212" hidden="1" ht="15.6" customHeight="1" s="170">
      <c r="A212" s="173" t="n"/>
      <c r="B212" s="92" t="inlineStr">
        <is>
          <t>绿豆芽</t>
        </is>
      </c>
      <c r="C212" s="92">
        <f>VLOOKUP(B212,原材料价格表!$B$2:$J$242,9,)</f>
        <v/>
      </c>
      <c r="D212" s="92">
        <f>VLOOKUP(B212,原材料价格表!$B$2:$G$436,2,0)</f>
        <v/>
      </c>
      <c r="E212" s="92">
        <f>VLOOKUP(B212,原材料价格表!$B$2:$G$436,3,0)</f>
        <v/>
      </c>
      <c r="F212" s="122">
        <f>VLOOKUP(B212,原材料价格表!$B$2:$G$436,6,0)</f>
        <v/>
      </c>
      <c r="G212" s="92">
        <f>VLOOKUP(B212,原材料价格表!$B$2:$G$436,5,0)</f>
        <v/>
      </c>
      <c r="H212" s="123" t="n">
        <v>0.95</v>
      </c>
      <c r="I212" s="124">
        <f>F212/G212/H212</f>
        <v/>
      </c>
      <c r="J212" s="92" t="n">
        <v>30</v>
      </c>
      <c r="K212" s="124">
        <f>I212*J212</f>
        <v/>
      </c>
      <c r="L212" s="92" t="n"/>
    </row>
    <row r="213" hidden="1" ht="15.6" customHeight="1" s="170">
      <c r="A213" s="173" t="n"/>
      <c r="B213" s="92" t="inlineStr">
        <is>
          <t>海带丝</t>
        </is>
      </c>
      <c r="C213" s="92">
        <f>VLOOKUP(B213,原材料价格表!$B$2:$J$242,9,)</f>
        <v/>
      </c>
      <c r="D213" s="92">
        <f>VLOOKUP(B213,原材料价格表!$B$2:$G$436,2,0)</f>
        <v/>
      </c>
      <c r="E213" s="92">
        <f>VLOOKUP(B213,原材料价格表!$B$2:$G$436,3,0)</f>
        <v/>
      </c>
      <c r="F213" s="122">
        <f>VLOOKUP(B213,原材料价格表!$B$2:$G$436,6,0)</f>
        <v/>
      </c>
      <c r="G213" s="92">
        <f>VLOOKUP(B213,原材料价格表!$B$2:$G$436,5,0)</f>
        <v/>
      </c>
      <c r="H213" s="123" t="n">
        <v>1</v>
      </c>
      <c r="I213" s="124">
        <f>F213/G213/H213</f>
        <v/>
      </c>
      <c r="J213" s="92" t="n">
        <v>30</v>
      </c>
      <c r="K213" s="124">
        <f>I213*J213</f>
        <v/>
      </c>
      <c r="L213" s="92" t="n"/>
    </row>
    <row r="214" hidden="1" ht="15.6" customHeight="1" s="170">
      <c r="A214" s="173" t="n"/>
      <c r="B214" s="92" t="inlineStr">
        <is>
          <t>泡萝卜</t>
        </is>
      </c>
      <c r="C214" s="92">
        <f>VLOOKUP(B214,原材料价格表!$B$2:$J$242,9,)</f>
        <v/>
      </c>
      <c r="D214" s="92">
        <f>VLOOKUP(B214,原材料价格表!$B$2:$G$436,2,0)</f>
        <v/>
      </c>
      <c r="E214" s="92">
        <f>VLOOKUP(B214,原材料价格表!$B$2:$G$436,3,0)</f>
        <v/>
      </c>
      <c r="F214" s="122">
        <f>VLOOKUP(B214,原材料价格表!$B$2:$G$436,6,0)</f>
        <v/>
      </c>
      <c r="G214" s="92">
        <f>VLOOKUP(B214,原材料价格表!$B$2:$G$436,5,0)</f>
        <v/>
      </c>
      <c r="H214" s="123" t="n">
        <v>0.95</v>
      </c>
      <c r="I214" s="124">
        <f>F214/G214/H214</f>
        <v/>
      </c>
      <c r="J214" s="92" t="n">
        <v>30</v>
      </c>
      <c r="K214" s="124">
        <f>I214*J214</f>
        <v/>
      </c>
      <c r="L214" s="92" t="n"/>
    </row>
    <row r="215" hidden="1" ht="15.6" customHeight="1" s="170">
      <c r="A215" s="173" t="n"/>
      <c r="B215" s="92" t="inlineStr">
        <is>
          <t>黄瓜</t>
        </is>
      </c>
      <c r="C215" s="92">
        <f>VLOOKUP(B215,原材料价格表!$B$2:$J$242,9,)</f>
        <v/>
      </c>
      <c r="D215" s="92">
        <f>VLOOKUP(B215,原材料价格表!$B$2:$G$436,2,0)</f>
        <v/>
      </c>
      <c r="E215" s="92">
        <f>VLOOKUP(B215,原材料价格表!$B$2:$G$436,3,0)</f>
        <v/>
      </c>
      <c r="F215" s="122">
        <f>VLOOKUP(B215,原材料价格表!$B$2:$G$436,6,0)</f>
        <v/>
      </c>
      <c r="G215" s="92">
        <f>VLOOKUP(B215,原材料价格表!$B$2:$G$436,5,0)</f>
        <v/>
      </c>
      <c r="H215" s="123" t="n">
        <v>0.9</v>
      </c>
      <c r="I215" s="124">
        <f>F215/G215/H215</f>
        <v/>
      </c>
      <c r="J215" s="92" t="n">
        <v>30</v>
      </c>
      <c r="K215" s="124">
        <f>I215*J215</f>
        <v/>
      </c>
      <c r="L215" s="92" t="n"/>
    </row>
    <row r="216" hidden="1" ht="15.6" customHeight="1" s="170">
      <c r="A216" s="173" t="n"/>
      <c r="B216" s="92" t="inlineStr">
        <is>
          <t>折耳根</t>
        </is>
      </c>
      <c r="C216" s="92">
        <f>VLOOKUP(B216,原材料价格表!$B$2:$J$242,9,)</f>
        <v/>
      </c>
      <c r="D216" s="92">
        <f>VLOOKUP(B216,原材料价格表!$B$2:$G$436,2,0)</f>
        <v/>
      </c>
      <c r="E216" s="92">
        <f>VLOOKUP(B216,原材料价格表!$B$2:$G$436,3,0)</f>
        <v/>
      </c>
      <c r="F216" s="122">
        <f>VLOOKUP(B216,原材料价格表!$B$2:$G$436,6,0)</f>
        <v/>
      </c>
      <c r="G216" s="92">
        <f>VLOOKUP(B216,原材料价格表!$B$2:$G$436,5,0)</f>
        <v/>
      </c>
      <c r="H216" s="123" t="n">
        <v>0.95</v>
      </c>
      <c r="I216" s="124">
        <f>F216/G216/H216</f>
        <v/>
      </c>
      <c r="J216" s="92" t="n">
        <v>30</v>
      </c>
      <c r="K216" s="124">
        <f>I216*J216</f>
        <v/>
      </c>
      <c r="L216" s="92" t="n"/>
    </row>
    <row r="217" hidden="1" ht="17.6" customHeight="1" s="170">
      <c r="A217" s="173" t="n"/>
      <c r="B217" s="92" t="inlineStr">
        <is>
          <t>土豆</t>
        </is>
      </c>
      <c r="C217" s="92">
        <f>VLOOKUP(B217,原材料价格表!$B$2:$J$242,9,)</f>
        <v/>
      </c>
      <c r="D217" s="92">
        <f>VLOOKUP(B217,原材料价格表!$B$2:$G$436,2,0)</f>
        <v/>
      </c>
      <c r="E217" s="92">
        <f>VLOOKUP(B217,原材料价格表!$B$2:$G$436,3,0)</f>
        <v/>
      </c>
      <c r="F217" s="122">
        <f>VLOOKUP(B217,原材料价格表!$B$2:$G$436,6,0)</f>
        <v/>
      </c>
      <c r="G217" s="92">
        <f>VLOOKUP(B217,原材料价格表!$B$2:$G$436,5,0)</f>
        <v/>
      </c>
      <c r="H217" s="123" t="n">
        <v>0.95</v>
      </c>
      <c r="I217" s="124">
        <f>F217/G217/H217</f>
        <v/>
      </c>
      <c r="J217" s="92" t="n">
        <v>30</v>
      </c>
      <c r="K217" s="124">
        <f>I217*J217</f>
        <v/>
      </c>
      <c r="L217" s="145" t="n"/>
    </row>
    <row r="218" hidden="1" ht="17.6" customHeight="1" s="170">
      <c r="A218" s="173" t="n"/>
      <c r="B218" s="92" t="inlineStr">
        <is>
          <t>脆哨</t>
        </is>
      </c>
      <c r="C218" s="92">
        <f>VLOOKUP(B218,原材料价格表!$B$2:$J$242,9,)</f>
        <v/>
      </c>
      <c r="D218" s="92">
        <f>VLOOKUP(B218,原材料价格表!$B$2:$G$436,2,0)</f>
        <v/>
      </c>
      <c r="E218" s="92">
        <f>VLOOKUP(B218,原材料价格表!$B$2:$G$436,3,0)</f>
        <v/>
      </c>
      <c r="F218" s="122" t="n">
        <v>27</v>
      </c>
      <c r="G218" s="92">
        <f>VLOOKUP(B218,原材料价格表!$B$2:$G$436,5,0)</f>
        <v/>
      </c>
      <c r="H218" s="123" t="n">
        <v>1</v>
      </c>
      <c r="I218" s="124">
        <f>F218/G218/H218</f>
        <v/>
      </c>
      <c r="J218" s="92" t="n">
        <v>25</v>
      </c>
      <c r="K218" s="124">
        <f>I218*J218</f>
        <v/>
      </c>
      <c r="L218" s="145" t="n"/>
    </row>
    <row r="219" hidden="1" ht="17.6" customHeight="1" s="170">
      <c r="A219" s="173" t="n"/>
      <c r="B219" s="92" t="inlineStr">
        <is>
          <t>凉面</t>
        </is>
      </c>
      <c r="C219" s="92">
        <f>VLOOKUP(B219,原材料价格表!$B$2:$J$242,9,)</f>
        <v/>
      </c>
      <c r="D219" s="92">
        <f>VLOOKUP(B219,原材料价格表!$B$2:$G$436,2,0)</f>
        <v/>
      </c>
      <c r="E219" s="92">
        <f>VLOOKUP(B219,原材料价格表!$B$2:$G$436,3,0)</f>
        <v/>
      </c>
      <c r="F219" s="122">
        <f>VLOOKUP(B219,原材料价格表!$B$2:$G$436,6,0)</f>
        <v/>
      </c>
      <c r="G219" s="92">
        <f>VLOOKUP(B219,原材料价格表!$B$2:$G$436,5,0)</f>
        <v/>
      </c>
      <c r="H219" s="123" t="n">
        <v>1</v>
      </c>
      <c r="I219" s="124">
        <f>F219/G219/H219</f>
        <v/>
      </c>
      <c r="J219" s="127" t="n">
        <v>30</v>
      </c>
      <c r="K219" s="124">
        <f>I219*J219</f>
        <v/>
      </c>
      <c r="L219" s="145" t="n"/>
    </row>
    <row r="220" hidden="1" ht="17.6" customHeight="1" s="170">
      <c r="A220" s="173" t="n"/>
      <c r="B220" s="92" t="inlineStr">
        <is>
          <t>春卷皮</t>
        </is>
      </c>
      <c r="C220" s="92">
        <f>VLOOKUP(B220,原材料价格表!$B$2:$J$242,9,)</f>
        <v/>
      </c>
      <c r="D220" s="92">
        <f>VLOOKUP(B220,原材料价格表!$B$2:$G$436,2,0)</f>
        <v/>
      </c>
      <c r="E220" s="92">
        <f>VLOOKUP(B220,原材料价格表!$B$2:$G$436,3,0)</f>
        <v/>
      </c>
      <c r="F220" s="122">
        <f>VLOOKUP(B220,原材料价格表!$B$2:$G$436,6,0)</f>
        <v/>
      </c>
      <c r="G220" s="92">
        <f>VLOOKUP(B220,原材料价格表!$B$2:$G$436,5,0)</f>
        <v/>
      </c>
      <c r="H220" s="123" t="n">
        <v>1</v>
      </c>
      <c r="I220" s="124">
        <f>F220/G220/H220</f>
        <v/>
      </c>
      <c r="J220" s="127" t="n">
        <v>12</v>
      </c>
      <c r="K220" s="124">
        <f>I220*J220</f>
        <v/>
      </c>
      <c r="L220" s="145" t="n"/>
    </row>
    <row r="221" hidden="1" ht="17.6" customHeight="1" s="170">
      <c r="A221" s="173" t="n"/>
      <c r="B221" s="92" t="inlineStr">
        <is>
          <t>芥末</t>
        </is>
      </c>
      <c r="C221" s="92">
        <f>VLOOKUP(B221,原材料价格表!$B$2:$J$242,9,)</f>
        <v/>
      </c>
      <c r="D221" s="92">
        <f>VLOOKUP(B221,原材料价格表!$B$2:$G$436,2,0)</f>
        <v/>
      </c>
      <c r="E221" s="92">
        <f>VLOOKUP(B221,原材料价格表!$B$2:$G$436,3,0)</f>
        <v/>
      </c>
      <c r="F221" s="122">
        <f>VLOOKUP(B221,原材料价格表!$B$2:$G$436,6,0)</f>
        <v/>
      </c>
      <c r="G221" s="92">
        <f>VLOOKUP(B221,原材料价格表!$B$2:$G$436,5,0)</f>
        <v/>
      </c>
      <c r="H221" s="123" t="n">
        <v>1</v>
      </c>
      <c r="I221" s="124">
        <f>F221/G221/H221</f>
        <v/>
      </c>
      <c r="J221" s="127" t="n">
        <v>0.5</v>
      </c>
      <c r="K221" s="124">
        <f>I221*J221</f>
        <v/>
      </c>
      <c r="L221" s="145" t="n"/>
    </row>
    <row r="222" hidden="1" ht="17.6" customHeight="1" s="170">
      <c r="A222" s="173" t="n"/>
      <c r="B222" s="92" t="inlineStr">
        <is>
          <t>糊辣椒</t>
        </is>
      </c>
      <c r="C222" s="92">
        <f>VLOOKUP(B222,原材料价格表!$B$2:$J$242,9,)</f>
        <v/>
      </c>
      <c r="D222" s="92">
        <f>VLOOKUP(B222,原材料价格表!$B$2:$G$436,2,0)</f>
        <v/>
      </c>
      <c r="E222" s="92">
        <f>VLOOKUP(B222,原材料价格表!$B$2:$G$436,3,0)</f>
        <v/>
      </c>
      <c r="F222" s="122" t="n">
        <v>25</v>
      </c>
      <c r="G222" s="92">
        <f>VLOOKUP(B222,原材料价格表!$B$2:$G$436,5,0)</f>
        <v/>
      </c>
      <c r="H222" s="123" t="n">
        <v>1</v>
      </c>
      <c r="I222" s="124">
        <f>F222/G222/H222</f>
        <v/>
      </c>
      <c r="J222" s="127" t="n">
        <v>4</v>
      </c>
      <c r="K222" s="124">
        <f>I222*J222</f>
        <v/>
      </c>
      <c r="L222" s="145" t="n"/>
    </row>
    <row r="223" hidden="1" ht="17.6" customHeight="1" s="170">
      <c r="A223" s="173" t="n"/>
      <c r="B223" s="92" t="inlineStr">
        <is>
          <t>贵州五香辣椒面</t>
        </is>
      </c>
      <c r="C223" s="92">
        <f>VLOOKUP(B223,原材料价格表!$B$2:$J$242,9,)</f>
        <v/>
      </c>
      <c r="D223" s="92">
        <f>VLOOKUP(B223,原材料价格表!$B$2:$G$436,2,0)</f>
        <v/>
      </c>
      <c r="E223" s="92">
        <f>VLOOKUP(B223,原材料价格表!$B$2:$G$436,3,0)</f>
        <v/>
      </c>
      <c r="F223" s="122" t="n">
        <v>20</v>
      </c>
      <c r="G223" s="92">
        <f>VLOOKUP(B223,原材料价格表!$B$2:$G$436,5,0)</f>
        <v/>
      </c>
      <c r="H223" s="123" t="n">
        <v>1</v>
      </c>
      <c r="I223" s="124">
        <f>F223/G223/H223</f>
        <v/>
      </c>
      <c r="J223" s="127" t="n">
        <v>4</v>
      </c>
      <c r="K223" s="124">
        <f>I223*J223</f>
        <v/>
      </c>
      <c r="L223" s="145" t="n"/>
    </row>
    <row r="224" hidden="1" ht="17.6" customHeight="1" s="170">
      <c r="A224" s="173" t="n"/>
      <c r="B224" s="166" t="inlineStr">
        <is>
          <t>老凯里非遗酸汤</t>
        </is>
      </c>
      <c r="C224" s="92">
        <f>VLOOKUP(B224,原材料价格表!$B$2:$J$242,9,)</f>
        <v/>
      </c>
      <c r="D224" s="92">
        <f>VLOOKUP(B224,原材料价格表!$B$2:$G$436,2,0)</f>
        <v/>
      </c>
      <c r="E224" s="92">
        <f>VLOOKUP(B224,原材料价格表!$B$2:$G$436,3,0)</f>
        <v/>
      </c>
      <c r="F224" s="122">
        <f>H239</f>
        <v/>
      </c>
      <c r="G224" s="92">
        <f>F239</f>
        <v/>
      </c>
      <c r="H224" s="123" t="n">
        <v>1</v>
      </c>
      <c r="I224" s="124">
        <f>F224/G224/H224</f>
        <v/>
      </c>
      <c r="J224" s="127" t="n">
        <v>160</v>
      </c>
      <c r="K224" s="124">
        <f>I224*J224</f>
        <v/>
      </c>
      <c r="L224" s="145" t="n"/>
    </row>
    <row r="225" hidden="1" ht="17.6" customHeight="1" s="170">
      <c r="A225" s="173" t="n"/>
      <c r="B225" s="92" t="inlineStr">
        <is>
          <t>小葱</t>
        </is>
      </c>
      <c r="C225" s="92">
        <f>VLOOKUP(B225,原材料价格表!$B$2:$J$242,9,)</f>
        <v/>
      </c>
      <c r="D225" s="92">
        <f>VLOOKUP(B225,原材料价格表!$B$2:$G$436,2,0)</f>
        <v/>
      </c>
      <c r="E225" s="92">
        <f>VLOOKUP(B225,原材料价格表!$B$2:$G$436,3,0)</f>
        <v/>
      </c>
      <c r="F225" s="122">
        <f>VLOOKUP(B225,原材料价格表!$B$2:$G$436,6,0)</f>
        <v/>
      </c>
      <c r="G225" s="92">
        <f>VLOOKUP(B225,原材料价格表!$B$2:$G$436,5,0)</f>
        <v/>
      </c>
      <c r="H225" s="123" t="n">
        <v>1</v>
      </c>
      <c r="I225" s="124">
        <f>F225/G225/H225</f>
        <v/>
      </c>
      <c r="J225" s="127" t="n">
        <v>2</v>
      </c>
      <c r="K225" s="124">
        <f>I225*J225</f>
        <v/>
      </c>
      <c r="L225" s="145" t="n"/>
    </row>
    <row r="226" hidden="1" ht="18" customHeight="1" s="170">
      <c r="A226" s="174" t="n"/>
      <c r="B226" s="95" t="inlineStr">
        <is>
          <t>售价</t>
        </is>
      </c>
      <c r="C226" s="92" t="n"/>
      <c r="D226" s="175" t="n">
        <v>28</v>
      </c>
      <c r="E226" s="95" t="inlineStr">
        <is>
          <t>售卖份量/g</t>
        </is>
      </c>
      <c r="F226" s="125">
        <f>SUM(J211:J225)</f>
        <v/>
      </c>
      <c r="G226" s="93" t="inlineStr">
        <is>
          <t>总成本（元）</t>
        </is>
      </c>
      <c r="H226" s="176">
        <f>SUM(K211:K225)</f>
        <v/>
      </c>
      <c r="I226" s="127" t="inlineStr">
        <is>
          <t>毛利/元</t>
        </is>
      </c>
      <c r="J226" s="127">
        <f>D226-H226</f>
        <v/>
      </c>
      <c r="K226" s="127" t="inlineStr">
        <is>
          <t>毛利率</t>
        </is>
      </c>
      <c r="L226" s="145">
        <f>J226/D226</f>
        <v/>
      </c>
    </row>
    <row r="227" ht="15.6" customHeight="1" s="170">
      <c r="A227" s="167" t="inlineStr">
        <is>
          <t>老凯里非遗酸汤</t>
        </is>
      </c>
      <c r="B227" s="164" t="inlineStr">
        <is>
          <t>酸汤底料</t>
        </is>
      </c>
      <c r="C227" s="82">
        <f>VLOOKUP(B227,原材料价格表!$B$2:$J$242,9,)</f>
        <v/>
      </c>
      <c r="D227" s="153">
        <f>VLOOKUP(B227,原材料价格表!$B$2:$G$436,2,0)</f>
        <v/>
      </c>
      <c r="E227" s="153">
        <f>VLOOKUP(B227,原材料价格表!$B$2:$G$436,3,0)</f>
        <v/>
      </c>
      <c r="F227" s="157">
        <f>VLOOKUP(B227,原材料价格表!$B$2:$G$436,6,0)</f>
        <v/>
      </c>
      <c r="G227" s="153">
        <f>VLOOKUP(B227,原材料价格表!$B$2:$G$436,5,0)</f>
        <v/>
      </c>
      <c r="H227" s="158" t="n">
        <v>1</v>
      </c>
      <c r="I227" s="161">
        <f>F227/G227/H227</f>
        <v/>
      </c>
      <c r="J227" s="153" t="n">
        <v>320</v>
      </c>
      <c r="K227" s="161">
        <f>I227*J227</f>
        <v/>
      </c>
      <c r="L227" s="153" t="n"/>
    </row>
    <row r="228" ht="15.6" customHeight="1" s="170">
      <c r="A228" s="173" t="n"/>
      <c r="B228" s="164" t="inlineStr">
        <is>
          <t>水</t>
        </is>
      </c>
      <c r="C228" s="82">
        <f>VLOOKUP(B228,原材料价格表!$B$2:$J$242,9,)</f>
        <v/>
      </c>
      <c r="D228" s="153">
        <f>VLOOKUP(B228,原材料价格表!$B$2:$G$436,2,0)</f>
        <v/>
      </c>
      <c r="E228" s="153">
        <f>VLOOKUP(B228,原材料价格表!$B$2:$G$436,3,0)</f>
        <v/>
      </c>
      <c r="F228" s="157">
        <f>VLOOKUP(B228,原材料价格表!$B$2:$G$436,6,0)</f>
        <v/>
      </c>
      <c r="G228" s="153">
        <f>VLOOKUP(B228,原材料价格表!$B$2:$G$436,5,0)</f>
        <v/>
      </c>
      <c r="H228" s="158" t="n">
        <v>1</v>
      </c>
      <c r="I228" s="161">
        <f>F228/G228/H228</f>
        <v/>
      </c>
      <c r="J228" s="153" t="n">
        <v>2000</v>
      </c>
      <c r="K228" s="161">
        <f>I228*J228</f>
        <v/>
      </c>
      <c r="L228" s="153" t="n"/>
    </row>
    <row r="229" ht="15.6" customHeight="1" s="170">
      <c r="A229" s="173" t="n"/>
      <c r="B229" s="164" t="inlineStr">
        <is>
          <t>鸡精</t>
        </is>
      </c>
      <c r="C229" s="82">
        <f>VLOOKUP(B229,原材料价格表!$B$2:$J$242,9,)</f>
        <v/>
      </c>
      <c r="D229" s="153">
        <f>VLOOKUP(B229,原材料价格表!$B$2:$G$436,2,0)</f>
        <v/>
      </c>
      <c r="E229" s="153">
        <f>VLOOKUP(B229,原材料价格表!$B$2:$G$436,3,0)</f>
        <v/>
      </c>
      <c r="F229" s="157">
        <f>VLOOKUP(B229,原材料价格表!$B$2:$G$436,6,0)</f>
        <v/>
      </c>
      <c r="G229" s="153">
        <f>VLOOKUP(B229,原材料价格表!$B$2:$G$436,5,0)</f>
        <v/>
      </c>
      <c r="H229" s="158" t="n">
        <v>1</v>
      </c>
      <c r="I229" s="161">
        <f>F229/G229/H229</f>
        <v/>
      </c>
      <c r="J229" s="153" t="n">
        <v>20</v>
      </c>
      <c r="K229" s="161">
        <f>I229*J229</f>
        <v/>
      </c>
      <c r="L229" s="153" t="n"/>
    </row>
    <row r="230" ht="15.6" customHeight="1" s="170">
      <c r="A230" s="173" t="n"/>
      <c r="B230" s="164" t="inlineStr">
        <is>
          <t>味精</t>
        </is>
      </c>
      <c r="C230" s="82">
        <f>VLOOKUP(B230,原材料价格表!$B$2:$J$242,9,)</f>
        <v/>
      </c>
      <c r="D230" s="153">
        <f>VLOOKUP(B230,原材料价格表!$B$2:$G$436,2,0)</f>
        <v/>
      </c>
      <c r="E230" s="153">
        <f>VLOOKUP(B230,原材料价格表!$B$2:$G$436,3,0)</f>
        <v/>
      </c>
      <c r="F230" s="157">
        <f>VLOOKUP(B230,原材料价格表!$B$2:$G$436,6,0)</f>
        <v/>
      </c>
      <c r="G230" s="153">
        <f>VLOOKUP(B230,原材料价格表!$B$2:$G$436,5,0)</f>
        <v/>
      </c>
      <c r="H230" s="158" t="n">
        <v>1</v>
      </c>
      <c r="I230" s="161">
        <f>F230/G230/H230</f>
        <v/>
      </c>
      <c r="J230" s="153" t="n">
        <v>5</v>
      </c>
      <c r="K230" s="161">
        <f>I230*J230</f>
        <v/>
      </c>
      <c r="L230" s="153" t="n"/>
    </row>
    <row r="231" ht="15.6" customHeight="1" s="170">
      <c r="A231" s="173" t="n"/>
      <c r="B231" s="164" t="inlineStr">
        <is>
          <t>猪油</t>
        </is>
      </c>
      <c r="C231" s="82">
        <f>VLOOKUP(B231,原材料价格表!$B$2:$J$242,9,)</f>
        <v/>
      </c>
      <c r="D231" s="153">
        <f>VLOOKUP(B231,原材料价格表!$B$2:$G$436,2,0)</f>
        <v/>
      </c>
      <c r="E231" s="153">
        <f>VLOOKUP(B231,原材料价格表!$B$2:$G$436,3,0)</f>
        <v/>
      </c>
      <c r="F231" s="157">
        <f>VLOOKUP(B231,原材料价格表!$B$2:$G$436,6,0)</f>
        <v/>
      </c>
      <c r="G231" s="153">
        <f>VLOOKUP(B231,原材料价格表!$B$2:$G$436,5,0)</f>
        <v/>
      </c>
      <c r="H231" s="158" t="n">
        <v>1</v>
      </c>
      <c r="I231" s="161">
        <f>F231/G231/H231</f>
        <v/>
      </c>
      <c r="J231" s="153" t="n">
        <v>50</v>
      </c>
      <c r="K231" s="161">
        <f>I231*J231</f>
        <v/>
      </c>
      <c r="L231" s="153" t="n"/>
    </row>
    <row r="232" ht="15.6" customHeight="1" s="170">
      <c r="A232" s="173" t="n"/>
      <c r="B232" s="164" t="inlineStr">
        <is>
          <t>鲜花椒</t>
        </is>
      </c>
      <c r="C232" s="82">
        <f>VLOOKUP(B232,原材料价格表!$B$2:$J$242,9,)</f>
        <v/>
      </c>
      <c r="D232" s="153">
        <f>VLOOKUP(B232,原材料价格表!$B$2:$G$436,2,0)</f>
        <v/>
      </c>
      <c r="E232" s="153">
        <f>VLOOKUP(B232,原材料价格表!$B$2:$G$436,3,0)</f>
        <v/>
      </c>
      <c r="F232" s="157">
        <f>VLOOKUP(B232,原材料价格表!$B$2:$G$436,6,0)</f>
        <v/>
      </c>
      <c r="G232" s="153">
        <f>VLOOKUP(B232,原材料价格表!$B$2:$G$436,5,0)</f>
        <v/>
      </c>
      <c r="H232" s="158" t="n">
        <v>1</v>
      </c>
      <c r="I232" s="161">
        <f>F232/G232/H232</f>
        <v/>
      </c>
      <c r="J232" s="153" t="n">
        <v>5</v>
      </c>
      <c r="K232" s="161">
        <f>I232*J232</f>
        <v/>
      </c>
      <c r="L232" s="153" t="n"/>
    </row>
    <row r="233" ht="15.6" customHeight="1" s="170">
      <c r="A233" s="173" t="n"/>
      <c r="B233" s="164" t="inlineStr">
        <is>
          <t>木姜子</t>
        </is>
      </c>
      <c r="C233" s="82">
        <f>VLOOKUP(B233,原材料价格表!$B$2:$J$242,9,)</f>
        <v/>
      </c>
      <c r="D233" s="153">
        <f>VLOOKUP(B233,原材料价格表!$B$2:$G$436,2,0)</f>
        <v/>
      </c>
      <c r="E233" s="153">
        <f>VLOOKUP(B233,原材料价格表!$B$2:$G$436,3,0)</f>
        <v/>
      </c>
      <c r="F233" s="157">
        <f>VLOOKUP(B233,原材料价格表!$B$2:$G$436,6,0)</f>
        <v/>
      </c>
      <c r="G233" s="153">
        <f>VLOOKUP(B233,原材料价格表!$B$2:$G$436,5,0)</f>
        <v/>
      </c>
      <c r="H233" s="158" t="n">
        <v>1</v>
      </c>
      <c r="I233" s="161">
        <f>F233/G233/H233</f>
        <v/>
      </c>
      <c r="J233" s="153" t="n">
        <v>5</v>
      </c>
      <c r="K233" s="161">
        <f>I233*J233</f>
        <v/>
      </c>
      <c r="L233" s="153" t="n"/>
    </row>
    <row r="234" ht="15.6" customHeight="1" s="170">
      <c r="A234" s="173" t="n"/>
      <c r="B234" s="164" t="inlineStr">
        <is>
          <t>番茄</t>
        </is>
      </c>
      <c r="C234" s="82">
        <f>VLOOKUP(B234,原材料价格表!$B$2:$J$242,9,)</f>
        <v/>
      </c>
      <c r="D234" s="153">
        <f>VLOOKUP(B234,原材料价格表!$B$2:$G$436,2,0)</f>
        <v/>
      </c>
      <c r="E234" s="153">
        <f>VLOOKUP(B234,原材料价格表!$B$2:$G$436,3,0)</f>
        <v/>
      </c>
      <c r="F234" s="157">
        <f>VLOOKUP(B234,原材料价格表!$B$2:$G$436,6,0)</f>
        <v/>
      </c>
      <c r="G234" s="153">
        <f>VLOOKUP(B234,原材料价格表!$B$2:$G$436,5,0)</f>
        <v/>
      </c>
      <c r="H234" s="158" t="n">
        <v>0.95</v>
      </c>
      <c r="I234" s="161">
        <f>F234/G234/H234</f>
        <v/>
      </c>
      <c r="J234" s="153" t="n">
        <v>30</v>
      </c>
      <c r="K234" s="161">
        <f>I234*J234</f>
        <v/>
      </c>
      <c r="L234" s="153" t="n"/>
    </row>
    <row r="235" ht="15.6" customHeight="1" s="170">
      <c r="A235" s="173" t="n"/>
      <c r="B235" s="164" t="inlineStr">
        <is>
          <t>黄豆芽</t>
        </is>
      </c>
      <c r="C235" s="82">
        <f>VLOOKUP(B235,原材料价格表!$B$2:$J$242,9,)</f>
        <v/>
      </c>
      <c r="D235" s="153">
        <f>VLOOKUP(B235,原材料价格表!$B$2:$G$436,2,0)</f>
        <v/>
      </c>
      <c r="E235" s="153">
        <f>VLOOKUP(B235,原材料价格表!$B$2:$G$436,3,0)</f>
        <v/>
      </c>
      <c r="F235" s="157">
        <f>VLOOKUP(B235,原材料价格表!$B$2:$G$436,6,0)</f>
        <v/>
      </c>
      <c r="G235" s="153">
        <f>VLOOKUP(B235,原材料价格表!$B$2:$G$436,5,0)</f>
        <v/>
      </c>
      <c r="H235" s="158" t="n">
        <v>0.95</v>
      </c>
      <c r="I235" s="161">
        <f>F235/G235/H235</f>
        <v/>
      </c>
      <c r="J235" s="153" t="n">
        <v>10</v>
      </c>
      <c r="K235" s="161">
        <f>I235*J235</f>
        <v/>
      </c>
      <c r="L235" s="153" t="n"/>
    </row>
    <row r="236" ht="15.6" customHeight="1" s="170">
      <c r="A236" s="173" t="n"/>
      <c r="B236" s="164" t="inlineStr">
        <is>
          <t>蒜苗</t>
        </is>
      </c>
      <c r="C236" s="82">
        <f>VLOOKUP(B236,原材料价格表!$B$2:$J$242,9,)</f>
        <v/>
      </c>
      <c r="D236" s="153">
        <f>VLOOKUP(B236,原材料价格表!$B$2:$G$436,2,0)</f>
        <v/>
      </c>
      <c r="E236" s="153">
        <f>VLOOKUP(B236,原材料价格表!$B$2:$G$436,3,0)</f>
        <v/>
      </c>
      <c r="F236" s="157">
        <f>VLOOKUP(B236,原材料价格表!$B$2:$G$436,6,0)</f>
        <v/>
      </c>
      <c r="G236" s="153">
        <f>VLOOKUP(B236,原材料价格表!$B$2:$G$436,5,0)</f>
        <v/>
      </c>
      <c r="H236" s="158" t="n">
        <v>0.95</v>
      </c>
      <c r="I236" s="161">
        <f>F236/G236/H236</f>
        <v/>
      </c>
      <c r="J236" s="153" t="n">
        <v>3</v>
      </c>
      <c r="K236" s="161">
        <f>I236*J236</f>
        <v/>
      </c>
      <c r="L236" s="153" t="n"/>
    </row>
    <row r="237" ht="15.6" customHeight="1" s="170">
      <c r="A237" s="173" t="n"/>
      <c r="B237" s="164" t="inlineStr">
        <is>
          <t>小葱</t>
        </is>
      </c>
      <c r="C237" s="82">
        <f>VLOOKUP(B237,原材料价格表!$B$2:$J$242,9,)</f>
        <v/>
      </c>
      <c r="D237" s="153">
        <f>VLOOKUP(B237,原材料价格表!$B$2:$G$436,2,0)</f>
        <v/>
      </c>
      <c r="E237" s="153">
        <f>VLOOKUP(B237,原材料价格表!$B$2:$G$436,3,0)</f>
        <v/>
      </c>
      <c r="F237" s="157">
        <f>VLOOKUP(B237,原材料价格表!$B$2:$G$436,6,0)</f>
        <v/>
      </c>
      <c r="G237" s="153">
        <f>VLOOKUP(B237,原材料价格表!$B$2:$G$436,5,0)</f>
        <v/>
      </c>
      <c r="H237" s="158" t="n">
        <v>1</v>
      </c>
      <c r="I237" s="161">
        <f>F237/G237/H237</f>
        <v/>
      </c>
      <c r="J237" s="153" t="n">
        <v>3</v>
      </c>
      <c r="K237" s="161">
        <f>I237*J237</f>
        <v/>
      </c>
      <c r="L237" s="153" t="n"/>
    </row>
    <row r="238" ht="15.6" customHeight="1" s="170">
      <c r="A238" s="173" t="n"/>
      <c r="B238" s="164" t="inlineStr">
        <is>
          <t>姜</t>
        </is>
      </c>
      <c r="C238" s="82">
        <f>VLOOKUP(B238,原材料价格表!$B$2:$J$242,9,)</f>
        <v/>
      </c>
      <c r="D238" s="153">
        <f>VLOOKUP(B238,原材料价格表!$B$2:$G$436,2,0)</f>
        <v/>
      </c>
      <c r="E238" s="153">
        <f>VLOOKUP(B238,原材料价格表!$B$2:$G$436,3,0)</f>
        <v/>
      </c>
      <c r="F238" s="157">
        <f>VLOOKUP(B238,原材料价格表!$B$2:$G$436,6,0)</f>
        <v/>
      </c>
      <c r="G238" s="153">
        <f>VLOOKUP(B238,原材料价格表!$B$2:$G$436,5,0)</f>
        <v/>
      </c>
      <c r="H238" s="158" t="n">
        <v>0.95</v>
      </c>
      <c r="I238" s="161">
        <f>F238/G238/H238</f>
        <v/>
      </c>
      <c r="J238" s="153" t="n">
        <v>3</v>
      </c>
      <c r="K238" s="161">
        <f>I238*J238</f>
        <v/>
      </c>
      <c r="L238" s="153" t="n"/>
    </row>
    <row r="239" ht="18" customHeight="1" s="170">
      <c r="A239" s="174" t="n"/>
      <c r="B239" s="154" t="inlineStr">
        <is>
          <t>售价</t>
        </is>
      </c>
      <c r="C239" s="82" t="n"/>
      <c r="D239" s="179" t="n">
        <v>38</v>
      </c>
      <c r="E239" s="154" t="inlineStr">
        <is>
          <t>售卖份量/g</t>
        </is>
      </c>
      <c r="F239" s="159">
        <f>SUM(J227:J238)</f>
        <v/>
      </c>
      <c r="G239" s="152" t="inlineStr">
        <is>
          <t>总成本（元）</t>
        </is>
      </c>
      <c r="H239" s="180">
        <f>SUM(K227:K238)</f>
        <v/>
      </c>
      <c r="I239" s="163" t="inlineStr">
        <is>
          <t>毛利/元</t>
        </is>
      </c>
      <c r="J239" s="163">
        <f>D239-H239</f>
        <v/>
      </c>
      <c r="K239" s="163" t="inlineStr">
        <is>
          <t>毛利率</t>
        </is>
      </c>
      <c r="L239" s="162">
        <f>J239/D239</f>
        <v/>
      </c>
    </row>
    <row r="240" hidden="1" ht="17.6" customHeight="1" s="170">
      <c r="A240" s="93" t="n"/>
      <c r="B240" s="95" t="n"/>
      <c r="C240" s="92">
        <f>VLOOKUP(B240,原材料价格表!$B$2:$J$242,9,)</f>
        <v/>
      </c>
      <c r="D240" s="175" t="n"/>
      <c r="E240" s="95" t="n"/>
      <c r="F240" s="125" t="n"/>
      <c r="G240" s="93" t="n"/>
      <c r="H240" s="176" t="n"/>
      <c r="I240" s="127" t="n"/>
      <c r="J240" s="127" t="n"/>
      <c r="K240" s="127" t="n"/>
      <c r="L240" s="145" t="n"/>
    </row>
    <row r="241" ht="15.6" customHeight="1" s="170">
      <c r="A241" s="152" t="inlineStr">
        <is>
          <t>豆腐丸子蘸酱（半成品）</t>
        </is>
      </c>
      <c r="B241" s="153" t="inlineStr">
        <is>
          <t>折耳根</t>
        </is>
      </c>
      <c r="C241" s="82">
        <f>VLOOKUP(B241,原材料价格表!$B$2:$J$242,9,)</f>
        <v/>
      </c>
      <c r="D241" s="153">
        <f>VLOOKUP(B241,原材料价格表!$B$2:$G$436,2,0)</f>
        <v/>
      </c>
      <c r="E241" s="153">
        <f>VLOOKUP(B241,原材料价格表!$B$2:$G$436,3,0)</f>
        <v/>
      </c>
      <c r="F241" s="157">
        <f>VLOOKUP(B241,原材料价格表!$B$2:$G$436,6,0)</f>
        <v/>
      </c>
      <c r="G241" s="153">
        <f>VLOOKUP(B241,原材料价格表!$B$2:$G$436,5,0)</f>
        <v/>
      </c>
      <c r="H241" s="158" t="n">
        <v>0.95</v>
      </c>
      <c r="I241" s="161">
        <f>F241/G241/H241</f>
        <v/>
      </c>
      <c r="J241" s="153" t="n">
        <v>200</v>
      </c>
      <c r="K241" s="161">
        <f>I241*J241</f>
        <v/>
      </c>
      <c r="L241" s="153" t="n"/>
    </row>
    <row r="242" ht="15.6" customHeight="1" s="170">
      <c r="A242" s="173" t="n"/>
      <c r="B242" s="153" t="inlineStr">
        <is>
          <t>小葱</t>
        </is>
      </c>
      <c r="C242" s="82">
        <f>VLOOKUP(B242,原材料价格表!$B$2:$J$242,9,)</f>
        <v/>
      </c>
      <c r="D242" s="153">
        <f>VLOOKUP(B242,原材料价格表!$B$2:$G$436,2,0)</f>
        <v/>
      </c>
      <c r="E242" s="153">
        <f>VLOOKUP(B242,原材料价格表!$B$2:$G$436,3,0)</f>
        <v/>
      </c>
      <c r="F242" s="157">
        <f>VLOOKUP(B242,原材料价格表!$B$2:$G$436,6,0)</f>
        <v/>
      </c>
      <c r="G242" s="153">
        <f>VLOOKUP(B242,原材料价格表!$B$2:$G$436,5,0)</f>
        <v/>
      </c>
      <c r="H242" s="158" t="n">
        <v>0.9</v>
      </c>
      <c r="I242" s="161">
        <f>F242/G242/H242</f>
        <v/>
      </c>
      <c r="J242" s="153" t="n">
        <v>60</v>
      </c>
      <c r="K242" s="161">
        <f>I242*J242</f>
        <v/>
      </c>
      <c r="L242" s="153" t="n"/>
    </row>
    <row r="243" ht="15.6" customHeight="1" s="170">
      <c r="A243" s="173" t="n"/>
      <c r="B243" s="153" t="inlineStr">
        <is>
          <t>香菜</t>
        </is>
      </c>
      <c r="C243" s="82">
        <f>VLOOKUP(B243,原材料价格表!$B$2:$J$242,9,)</f>
        <v/>
      </c>
      <c r="D243" s="153">
        <f>VLOOKUP(B243,原材料价格表!$B$2:$G$436,2,0)</f>
        <v/>
      </c>
      <c r="E243" s="153">
        <f>VLOOKUP(B243,原材料价格表!$B$2:$G$436,3,0)</f>
        <v/>
      </c>
      <c r="F243" s="157">
        <f>VLOOKUP(B243,原材料价格表!$B$2:$G$436,6,0)</f>
        <v/>
      </c>
      <c r="G243" s="153">
        <f>VLOOKUP(B243,原材料价格表!$B$2:$G$436,5,0)</f>
        <v/>
      </c>
      <c r="H243" s="158" t="n">
        <v>0.9</v>
      </c>
      <c r="I243" s="161">
        <f>F243/G243/H243</f>
        <v/>
      </c>
      <c r="J243" s="153" t="n">
        <v>60</v>
      </c>
      <c r="K243" s="161">
        <f>I243*J243</f>
        <v/>
      </c>
      <c r="L243" s="153" t="n"/>
    </row>
    <row r="244" ht="15.6" customHeight="1" s="170">
      <c r="A244" s="173" t="n"/>
      <c r="B244" s="153" t="inlineStr">
        <is>
          <t>泡萝卜</t>
        </is>
      </c>
      <c r="C244" s="82">
        <f>VLOOKUP(B244,原材料价格表!$B$2:$J$242,9,)</f>
        <v/>
      </c>
      <c r="D244" s="153">
        <f>VLOOKUP(B244,原材料价格表!$B$2:$G$436,2,0)</f>
        <v/>
      </c>
      <c r="E244" s="153">
        <f>VLOOKUP(B244,原材料价格表!$B$2:$G$436,3,0)</f>
        <v/>
      </c>
      <c r="F244" s="157">
        <f>VLOOKUP(B244,原材料价格表!$B$2:$G$436,6,0)</f>
        <v/>
      </c>
      <c r="G244" s="153">
        <f>VLOOKUP(B244,原材料价格表!$B$2:$G$436,5,0)</f>
        <v/>
      </c>
      <c r="H244" s="158" t="n">
        <v>1</v>
      </c>
      <c r="I244" s="161">
        <f>F244/G244/H244</f>
        <v/>
      </c>
      <c r="J244" s="153" t="n">
        <v>200</v>
      </c>
      <c r="K244" s="161">
        <f>I244*J244</f>
        <v/>
      </c>
      <c r="L244" s="153" t="n"/>
    </row>
    <row r="245" ht="15.6" customHeight="1" s="170">
      <c r="A245" s="173" t="n"/>
      <c r="B245" s="153" t="inlineStr">
        <is>
          <t>大香菜</t>
        </is>
      </c>
      <c r="C245" s="82">
        <f>VLOOKUP(B245,原材料价格表!$B$2:$J$242,9,)</f>
        <v/>
      </c>
      <c r="D245" s="153">
        <f>VLOOKUP(B245,原材料价格表!$B$2:$G$436,2,0)</f>
        <v/>
      </c>
      <c r="E245" s="153">
        <f>VLOOKUP(B245,原材料价格表!$B$2:$G$436,3,0)</f>
        <v/>
      </c>
      <c r="F245" s="157">
        <f>VLOOKUP(B245,原材料价格表!$B$2:$G$436,6,0)</f>
        <v/>
      </c>
      <c r="G245" s="153">
        <f>VLOOKUP(B245,原材料价格表!$B$2:$G$436,5,0)</f>
        <v/>
      </c>
      <c r="H245" s="158" t="n">
        <v>0.9</v>
      </c>
      <c r="I245" s="161">
        <f>F245/G245/H245</f>
        <v/>
      </c>
      <c r="J245" s="153" t="n">
        <v>60</v>
      </c>
      <c r="K245" s="161">
        <f>I245*J245</f>
        <v/>
      </c>
      <c r="L245" s="153" t="n"/>
    </row>
    <row r="246" ht="15.6" customHeight="1" s="170">
      <c r="A246" s="173" t="n"/>
      <c r="B246" s="153" t="inlineStr">
        <is>
          <t>糊辣椒</t>
        </is>
      </c>
      <c r="C246" s="82">
        <f>VLOOKUP(B246,原材料价格表!$B$2:$J$242,9,)</f>
        <v/>
      </c>
      <c r="D246" s="153">
        <f>VLOOKUP(B246,原材料价格表!$B$2:$G$436,2,0)</f>
        <v/>
      </c>
      <c r="E246" s="153">
        <f>VLOOKUP(B246,原材料价格表!$B$2:$G$436,3,0)</f>
        <v/>
      </c>
      <c r="F246" s="157" t="n">
        <v>25</v>
      </c>
      <c r="G246" s="153">
        <f>VLOOKUP(B246,原材料价格表!$B$2:$G$436,5,0)</f>
        <v/>
      </c>
      <c r="H246" s="158" t="n">
        <v>1</v>
      </c>
      <c r="I246" s="161">
        <f>F246/G246/H246</f>
        <v/>
      </c>
      <c r="J246" s="153" t="n">
        <v>40</v>
      </c>
      <c r="K246" s="161">
        <f>I246*J246</f>
        <v/>
      </c>
      <c r="L246" s="153" t="n"/>
    </row>
    <row r="247" ht="17.6" customHeight="1" s="170">
      <c r="A247" s="173" t="n"/>
      <c r="B247" s="153" t="inlineStr">
        <is>
          <t>贵州五香辣椒面</t>
        </is>
      </c>
      <c r="C247" s="82">
        <f>VLOOKUP(B247,原材料价格表!$B$2:$J$242,9,)</f>
        <v/>
      </c>
      <c r="D247" s="153">
        <f>VLOOKUP(B247,原材料价格表!$B$2:$G$436,2,0)</f>
        <v/>
      </c>
      <c r="E247" s="153">
        <f>VLOOKUP(B247,原材料价格表!$B$2:$G$436,3,0)</f>
        <v/>
      </c>
      <c r="F247" s="157" t="n">
        <v>20</v>
      </c>
      <c r="G247" s="153">
        <f>VLOOKUP(B247,原材料价格表!$B$2:$G$436,5,0)</f>
        <v/>
      </c>
      <c r="H247" s="158" t="n">
        <v>1</v>
      </c>
      <c r="I247" s="161">
        <f>F247/G247/H247</f>
        <v/>
      </c>
      <c r="J247" s="153" t="n">
        <v>21</v>
      </c>
      <c r="K247" s="161">
        <f>I247*J247</f>
        <v/>
      </c>
      <c r="L247" s="162" t="n"/>
    </row>
    <row r="248" ht="17.6" customHeight="1" s="170">
      <c r="A248" s="173" t="n"/>
      <c r="B248" s="153" t="inlineStr">
        <is>
          <t>花椒粉</t>
        </is>
      </c>
      <c r="C248" s="82">
        <f>VLOOKUP(B248,原材料价格表!$B$2:$J$242,9,)</f>
        <v/>
      </c>
      <c r="D248" s="153">
        <f>VLOOKUP(B248,原材料价格表!$B$2:$G$436,2,0)</f>
        <v/>
      </c>
      <c r="E248" s="153">
        <f>VLOOKUP(B248,原材料价格表!$B$2:$G$436,3,0)</f>
        <v/>
      </c>
      <c r="F248" s="157">
        <f>VLOOKUP(B248,原材料价格表!$B$2:$G$436,6,0)</f>
        <v/>
      </c>
      <c r="G248" s="153">
        <f>VLOOKUP(B248,原材料价格表!$B$2:$G$436,5,0)</f>
        <v/>
      </c>
      <c r="H248" s="158" t="n">
        <v>1</v>
      </c>
      <c r="I248" s="161">
        <f>F248/G248/H248</f>
        <v/>
      </c>
      <c r="J248" s="153" t="n">
        <v>1</v>
      </c>
      <c r="K248" s="161">
        <f>I248*J248</f>
        <v/>
      </c>
      <c r="L248" s="162" t="n"/>
    </row>
    <row r="249" ht="17.6" customHeight="1" s="170">
      <c r="A249" s="173" t="n"/>
      <c r="B249" s="153" t="inlineStr">
        <is>
          <t>生抽</t>
        </is>
      </c>
      <c r="C249" s="82">
        <f>VLOOKUP(B249,原材料价格表!$B$2:$J$242,9,)</f>
        <v/>
      </c>
      <c r="D249" s="153">
        <f>VLOOKUP(B249,原材料价格表!$B$2:$G$436,2,0)</f>
        <v/>
      </c>
      <c r="E249" s="153">
        <f>VLOOKUP(B249,原材料价格表!$B$2:$G$436,3,0)</f>
        <v/>
      </c>
      <c r="F249" s="157">
        <f>VLOOKUP(B249,原材料价格表!$B$2:$G$436,6,0)</f>
        <v/>
      </c>
      <c r="G249" s="153">
        <f>VLOOKUP(B249,原材料价格表!$B$2:$G$436,5,0)</f>
        <v/>
      </c>
      <c r="H249" s="158" t="n">
        <v>1</v>
      </c>
      <c r="I249" s="161">
        <f>F249/G249/H249</f>
        <v/>
      </c>
      <c r="J249" s="153" t="n">
        <v>80</v>
      </c>
      <c r="K249" s="161">
        <f>I249*J249</f>
        <v/>
      </c>
      <c r="L249" s="162" t="n"/>
    </row>
    <row r="250" ht="17.6" customHeight="1" s="170">
      <c r="A250" s="173" t="n"/>
      <c r="B250" s="153" t="inlineStr">
        <is>
          <t>鸡精</t>
        </is>
      </c>
      <c r="C250" s="82">
        <f>VLOOKUP(B250,原材料价格表!$B$2:$J$242,9,)</f>
        <v/>
      </c>
      <c r="D250" s="153">
        <f>VLOOKUP(B250,原材料价格表!$B$2:$G$436,2,0)</f>
        <v/>
      </c>
      <c r="E250" s="153">
        <f>VLOOKUP(B250,原材料价格表!$B$2:$G$436,3,0)</f>
        <v/>
      </c>
      <c r="F250" s="157">
        <f>VLOOKUP(B250,原材料价格表!$B$2:$G$436,6,0)</f>
        <v/>
      </c>
      <c r="G250" s="153">
        <f>VLOOKUP(B250,原材料价格表!$B$2:$G$436,5,0)</f>
        <v/>
      </c>
      <c r="H250" s="158" t="n">
        <v>1</v>
      </c>
      <c r="I250" s="161">
        <f>F250/G250/H250</f>
        <v/>
      </c>
      <c r="J250" s="153" t="n">
        <v>16</v>
      </c>
      <c r="K250" s="161">
        <f>I250*J250</f>
        <v/>
      </c>
      <c r="L250" s="162" t="n"/>
    </row>
    <row r="251" ht="17.6" customHeight="1" s="170">
      <c r="A251" s="173" t="n"/>
      <c r="B251" s="153" t="inlineStr">
        <is>
          <t>味精</t>
        </is>
      </c>
      <c r="C251" s="82">
        <f>VLOOKUP(B251,原材料价格表!$B$2:$J$242,9,)</f>
        <v/>
      </c>
      <c r="D251" s="153">
        <f>VLOOKUP(B251,原材料价格表!$B$2:$G$436,2,0)</f>
        <v/>
      </c>
      <c r="E251" s="153">
        <f>VLOOKUP(B251,原材料价格表!$B$2:$G$436,3,0)</f>
        <v/>
      </c>
      <c r="F251" s="157">
        <f>VLOOKUP(B251,原材料价格表!$B$2:$G$436,6,0)</f>
        <v/>
      </c>
      <c r="G251" s="153">
        <f>VLOOKUP(B251,原材料价格表!$B$2:$G$436,5,0)</f>
        <v/>
      </c>
      <c r="H251" s="158" t="n">
        <v>1</v>
      </c>
      <c r="I251" s="161">
        <f>F251/G251/H251</f>
        <v/>
      </c>
      <c r="J251" s="153" t="n">
        <v>4</v>
      </c>
      <c r="K251" s="161">
        <f>I251*J251</f>
        <v/>
      </c>
      <c r="L251" s="162" t="n"/>
    </row>
    <row r="252" ht="18" customHeight="1" s="170">
      <c r="A252" s="174" t="n"/>
      <c r="B252" s="154" t="inlineStr">
        <is>
          <t>售价</t>
        </is>
      </c>
      <c r="C252" s="82" t="n"/>
      <c r="D252" s="179" t="n"/>
      <c r="E252" s="154" t="inlineStr">
        <is>
          <t>售卖份量/g</t>
        </is>
      </c>
      <c r="F252" s="159">
        <f>SUM(J241:J251)</f>
        <v/>
      </c>
      <c r="G252" s="152" t="inlineStr">
        <is>
          <t>总成本（元）</t>
        </is>
      </c>
      <c r="H252" s="180">
        <f>SUM(K241:K251)</f>
        <v/>
      </c>
      <c r="I252" s="163" t="inlineStr">
        <is>
          <t>毛利/元</t>
        </is>
      </c>
      <c r="J252" s="163">
        <f>D252-H252</f>
        <v/>
      </c>
      <c r="K252" s="163" t="inlineStr">
        <is>
          <t>毛利率</t>
        </is>
      </c>
      <c r="L252" s="162">
        <f>J252/D252</f>
        <v/>
      </c>
    </row>
    <row r="253" hidden="1" ht="15.6" customHeight="1" s="170">
      <c r="A253" s="93" t="inlineStr">
        <is>
          <t>苗侗空气丸子</t>
        </is>
      </c>
      <c r="B253" s="156" t="inlineStr">
        <is>
          <t>豆腐丸子蘸酱</t>
        </is>
      </c>
      <c r="C253" s="92">
        <f>VLOOKUP(B253,原材料价格表!$B$2:$J$242,9,)</f>
        <v/>
      </c>
      <c r="D253" s="92">
        <f>VLOOKUP(B253,原材料价格表!$B$2:$G$436,2,0)</f>
        <v/>
      </c>
      <c r="E253" s="92">
        <f>VLOOKUP(B253,原材料价格表!$B$2:$G$436,3,0)</f>
        <v/>
      </c>
      <c r="F253" s="122">
        <f>H252</f>
        <v/>
      </c>
      <c r="G253" s="92">
        <f>F252</f>
        <v/>
      </c>
      <c r="H253" s="123" t="n">
        <v>1</v>
      </c>
      <c r="I253" s="124">
        <f>F253/G253/H253</f>
        <v/>
      </c>
      <c r="J253" s="92" t="n">
        <v>40</v>
      </c>
      <c r="K253" s="124">
        <f>I253*J253</f>
        <v/>
      </c>
      <c r="L253" s="92" t="n"/>
    </row>
    <row r="254" hidden="1" ht="15.6" customHeight="1" s="170">
      <c r="A254" s="173" t="n"/>
      <c r="B254" s="92" t="inlineStr">
        <is>
          <t>脆哨</t>
        </is>
      </c>
      <c r="C254" s="92">
        <f>VLOOKUP(B254,原材料价格表!$B$2:$J$242,9,)</f>
        <v/>
      </c>
      <c r="D254" s="92">
        <f>VLOOKUP(B254,原材料价格表!$B$2:$G$436,2,0)</f>
        <v/>
      </c>
      <c r="E254" s="92">
        <f>VLOOKUP(B254,原材料价格表!$B$2:$G$436,3,0)</f>
        <v/>
      </c>
      <c r="F254" s="122" t="n">
        <v>27</v>
      </c>
      <c r="G254" s="92">
        <f>VLOOKUP(B254,原材料价格表!$B$2:$G$436,5,0)</f>
        <v/>
      </c>
      <c r="H254" s="123" t="n">
        <v>1</v>
      </c>
      <c r="I254" s="124">
        <f>F254/G254/H254</f>
        <v/>
      </c>
      <c r="J254" s="92" t="n">
        <v>5</v>
      </c>
      <c r="K254" s="124">
        <f>I254*J254</f>
        <v/>
      </c>
      <c r="L254" s="92" t="n"/>
    </row>
    <row r="255" hidden="1" ht="15.6" customHeight="1" s="170">
      <c r="A255" s="173" t="n"/>
      <c r="B255" s="92" t="inlineStr">
        <is>
          <t>帕玛森干酪</t>
        </is>
      </c>
      <c r="C255" s="92">
        <f>VLOOKUP(B255,原材料价格表!$B$2:$J$242,9,)</f>
        <v/>
      </c>
      <c r="D255" s="92">
        <f>VLOOKUP(B255,原材料价格表!$B$2:$G$436,2,0)</f>
        <v/>
      </c>
      <c r="E255" s="92">
        <f>VLOOKUP(B255,原材料价格表!$B$2:$G$436,3,0)</f>
        <v/>
      </c>
      <c r="F255" s="122">
        <f>VLOOKUP(B255,原材料价格表!$B$2:$G$436,6,0)</f>
        <v/>
      </c>
      <c r="G255" s="92">
        <f>VLOOKUP(B255,原材料价格表!$B$2:$G$436,5,0)</f>
        <v/>
      </c>
      <c r="H255" s="123" t="n">
        <v>1</v>
      </c>
      <c r="I255" s="124">
        <f>F255/G255/H255</f>
        <v/>
      </c>
      <c r="J255" s="92" t="n">
        <v>5</v>
      </c>
      <c r="K255" s="124">
        <f>I255*J255</f>
        <v/>
      </c>
      <c r="L255" s="92" t="n"/>
    </row>
    <row r="256" hidden="1" ht="15.6" customHeight="1" s="170">
      <c r="A256" s="173" t="n"/>
      <c r="B256" s="92" t="inlineStr">
        <is>
          <t>豆腐圆子</t>
        </is>
      </c>
      <c r="C256" s="92">
        <f>VLOOKUP(B256,原材料价格表!$B$2:$J$242,9,)</f>
        <v/>
      </c>
      <c r="D256" s="92">
        <f>VLOOKUP(B256,原材料价格表!$B$2:$G$436,2,0)</f>
        <v/>
      </c>
      <c r="E256" s="92">
        <f>VLOOKUP(B256,原材料价格表!$B$2:$G$436,3,0)</f>
        <v/>
      </c>
      <c r="F256" s="122" t="n">
        <v>15</v>
      </c>
      <c r="G256" s="92">
        <f>VLOOKUP(B256,原材料价格表!$B$2:$G$436,5,0)</f>
        <v/>
      </c>
      <c r="H256" s="123" t="n">
        <v>0.9</v>
      </c>
      <c r="I256" s="124">
        <f>F256/G256/H256</f>
        <v/>
      </c>
      <c r="J256" s="92" t="n">
        <v>200</v>
      </c>
      <c r="K256" s="124">
        <f>I256*J256</f>
        <v/>
      </c>
      <c r="L256" s="92" t="n"/>
    </row>
    <row r="257" hidden="1" ht="18" customHeight="1" s="170">
      <c r="A257" s="174" t="n"/>
      <c r="B257" s="95" t="inlineStr">
        <is>
          <t>售价</t>
        </is>
      </c>
      <c r="C257" s="92" t="n"/>
      <c r="D257" s="175" t="n">
        <v>28</v>
      </c>
      <c r="E257" s="95" t="inlineStr">
        <is>
          <t>售卖份量/g</t>
        </is>
      </c>
      <c r="F257" s="125">
        <f>SUM(J253:J256)</f>
        <v/>
      </c>
      <c r="G257" s="93" t="inlineStr">
        <is>
          <t>总成本（元）</t>
        </is>
      </c>
      <c r="H257" s="176">
        <f>SUM(K253:K256)</f>
        <v/>
      </c>
      <c r="I257" s="127" t="inlineStr">
        <is>
          <t>毛利/元</t>
        </is>
      </c>
      <c r="J257" s="127">
        <f>D257-H257</f>
        <v/>
      </c>
      <c r="K257" s="127" t="inlineStr">
        <is>
          <t>毛利率</t>
        </is>
      </c>
      <c r="L257" s="145">
        <f>J257/D257</f>
        <v/>
      </c>
    </row>
    <row r="258" ht="15.6" customHeight="1" s="170">
      <c r="A258" s="152" t="inlineStr">
        <is>
          <t>玉米糊（半成品）</t>
        </is>
      </c>
      <c r="B258" s="153" t="inlineStr">
        <is>
          <t>甜玉米</t>
        </is>
      </c>
      <c r="C258" s="82">
        <f>VLOOKUP(B258,原材料价格表!$B$2:$J$242,9,)</f>
        <v/>
      </c>
      <c r="D258" s="153">
        <f>VLOOKUP(B258,原材料价格表!$B$2:$G$436,2,0)</f>
        <v/>
      </c>
      <c r="E258" s="153">
        <f>VLOOKUP(B258,原材料价格表!$B$2:$G$436,3,0)</f>
        <v/>
      </c>
      <c r="F258" s="157">
        <f>VLOOKUP(B258,原材料价格表!$B$2:$G$436,6,0)</f>
        <v/>
      </c>
      <c r="G258" s="153">
        <f>VLOOKUP(B258,原材料价格表!$B$2:$G$436,5,0)</f>
        <v/>
      </c>
      <c r="H258" s="158" t="n">
        <v>0.7</v>
      </c>
      <c r="I258" s="161">
        <f>F258/G258/H258</f>
        <v/>
      </c>
      <c r="J258" s="153" t="n">
        <v>400</v>
      </c>
      <c r="K258" s="161">
        <f>I258*J258</f>
        <v/>
      </c>
      <c r="L258" s="153" t="n"/>
    </row>
    <row r="259" ht="15.6" customHeight="1" s="170">
      <c r="A259" s="173" t="n"/>
      <c r="B259" s="153" t="inlineStr">
        <is>
          <t>盐</t>
        </is>
      </c>
      <c r="C259" s="82">
        <f>VLOOKUP(B259,原材料价格表!$B$2:$J$242,9,)</f>
        <v/>
      </c>
      <c r="D259" s="153">
        <f>VLOOKUP(B259,原材料价格表!$B$2:$G$436,2,0)</f>
        <v/>
      </c>
      <c r="E259" s="153">
        <f>VLOOKUP(B259,原材料价格表!$B$2:$G$436,3,0)</f>
        <v/>
      </c>
      <c r="F259" s="157">
        <f>VLOOKUP(B259,原材料价格表!$B$2:$G$436,6,0)</f>
        <v/>
      </c>
      <c r="G259" s="153">
        <f>VLOOKUP(B259,原材料价格表!$B$2:$G$436,5,0)</f>
        <v/>
      </c>
      <c r="H259" s="158" t="n">
        <v>1</v>
      </c>
      <c r="I259" s="161">
        <f>F259/G259/H259</f>
        <v/>
      </c>
      <c r="J259" s="153" t="n">
        <v>0.5</v>
      </c>
      <c r="K259" s="161">
        <f>I259*J259</f>
        <v/>
      </c>
      <c r="L259" s="153" t="n"/>
    </row>
    <row r="260" ht="15.6" customHeight="1" s="170">
      <c r="A260" s="173" t="n"/>
      <c r="B260" s="153" t="inlineStr">
        <is>
          <t>生粉</t>
        </is>
      </c>
      <c r="C260" s="82">
        <f>VLOOKUP(B260,原材料价格表!$B$2:$J$242,9,)</f>
        <v/>
      </c>
      <c r="D260" s="153">
        <f>VLOOKUP(B260,原材料价格表!$B$2:$G$436,2,0)</f>
        <v/>
      </c>
      <c r="E260" s="153">
        <f>VLOOKUP(B260,原材料价格表!$B$2:$G$436,3,0)</f>
        <v/>
      </c>
      <c r="F260" s="157">
        <f>VLOOKUP(B260,原材料价格表!$B$2:$G$436,6,0)</f>
        <v/>
      </c>
      <c r="G260" s="153">
        <f>VLOOKUP(B260,原材料价格表!$B$2:$G$436,5,0)</f>
        <v/>
      </c>
      <c r="H260" s="158" t="n">
        <v>1</v>
      </c>
      <c r="I260" s="161">
        <f>F260/G260/H260</f>
        <v/>
      </c>
      <c r="J260" s="153" t="n">
        <v>40</v>
      </c>
      <c r="K260" s="161">
        <f>I260*J260</f>
        <v/>
      </c>
      <c r="L260" s="153" t="n"/>
    </row>
    <row r="261" ht="15.6" customHeight="1" s="170">
      <c r="A261" s="173" t="n"/>
      <c r="B261" s="153" t="inlineStr">
        <is>
          <t>小麦自发粉</t>
        </is>
      </c>
      <c r="C261" s="82">
        <f>VLOOKUP(B261,原材料价格表!$B$2:$J$242,9,)</f>
        <v/>
      </c>
      <c r="D261" s="153">
        <f>VLOOKUP(B261,原材料价格表!$B$2:$G$436,2,0)</f>
        <v/>
      </c>
      <c r="E261" s="153">
        <f>VLOOKUP(B261,原材料价格表!$B$2:$G$436,3,0)</f>
        <v/>
      </c>
      <c r="F261" s="157">
        <f>VLOOKUP(B261,原材料价格表!$B$2:$G$436,6,0)</f>
        <v/>
      </c>
      <c r="G261" s="153">
        <f>VLOOKUP(B261,原材料价格表!$B$2:$G$436,5,0)</f>
        <v/>
      </c>
      <c r="H261" s="158" t="n">
        <v>1</v>
      </c>
      <c r="I261" s="161">
        <f>F261/G261/H261</f>
        <v/>
      </c>
      <c r="J261" s="153" t="n">
        <v>80</v>
      </c>
      <c r="K261" s="161">
        <f>I261*J261</f>
        <v/>
      </c>
      <c r="L261" s="153" t="n"/>
    </row>
    <row r="262" ht="15.6" customHeight="1" s="170">
      <c r="A262" s="173" t="n"/>
      <c r="B262" s="153" t="inlineStr">
        <is>
          <t>鸡蛋</t>
        </is>
      </c>
      <c r="C262" s="82">
        <f>VLOOKUP(B262,原材料价格表!$B$2:$J$242,9,)</f>
        <v/>
      </c>
      <c r="D262" s="153">
        <f>VLOOKUP(B262,原材料价格表!$B$2:$G$436,2,0)</f>
        <v/>
      </c>
      <c r="E262" s="153">
        <f>VLOOKUP(B262,原材料价格表!$B$2:$G$436,3,0)</f>
        <v/>
      </c>
      <c r="F262" s="157">
        <f>VLOOKUP(B262,原材料价格表!$B$2:$G$436,6,0)</f>
        <v/>
      </c>
      <c r="G262" s="153">
        <f>VLOOKUP(B262,原材料价格表!$B$2:$G$436,5,0)</f>
        <v/>
      </c>
      <c r="H262" s="158" t="n">
        <v>1</v>
      </c>
      <c r="I262" s="161">
        <f>F262/G262/H262</f>
        <v/>
      </c>
      <c r="J262" s="153" t="n">
        <v>2</v>
      </c>
      <c r="K262" s="161">
        <f>I262*J262</f>
        <v/>
      </c>
      <c r="L262" s="153" t="n"/>
    </row>
    <row r="263" ht="15.6" customHeight="1" s="170">
      <c r="A263" s="173" t="n"/>
      <c r="B263" s="153" t="inlineStr">
        <is>
          <t>白糖</t>
        </is>
      </c>
      <c r="C263" s="82">
        <f>VLOOKUP(B263,原材料价格表!$B$2:$J$242,9,)</f>
        <v/>
      </c>
      <c r="D263" s="153">
        <f>VLOOKUP(B263,原材料价格表!$B$2:$G$436,2,0)</f>
        <v/>
      </c>
      <c r="E263" s="153">
        <f>VLOOKUP(B263,原材料价格表!$B$2:$G$436,3,0)</f>
        <v/>
      </c>
      <c r="F263" s="157">
        <f>VLOOKUP(B263,原材料价格表!$B$2:$G$436,6,0)</f>
        <v/>
      </c>
      <c r="G263" s="153">
        <f>VLOOKUP(B263,原材料价格表!$B$2:$G$436,5,0)</f>
        <v/>
      </c>
      <c r="H263" s="158" t="n">
        <v>1</v>
      </c>
      <c r="I263" s="161">
        <f>F263/G263/H263</f>
        <v/>
      </c>
      <c r="J263" s="153" t="n">
        <v>20</v>
      </c>
      <c r="K263" s="161">
        <f>I263*J263</f>
        <v/>
      </c>
      <c r="L263" s="153" t="n"/>
    </row>
    <row r="264" ht="18" customHeight="1" s="170">
      <c r="A264" s="174" t="n"/>
      <c r="B264" s="154" t="inlineStr">
        <is>
          <t>售价</t>
        </is>
      </c>
      <c r="C264" s="82" t="n"/>
      <c r="D264" s="179" t="n"/>
      <c r="E264" s="154" t="inlineStr">
        <is>
          <t>售卖份量/g</t>
        </is>
      </c>
      <c r="F264" s="159">
        <f>SUM(J258:J263)</f>
        <v/>
      </c>
      <c r="G264" s="152" t="inlineStr">
        <is>
          <t>总成本（元）</t>
        </is>
      </c>
      <c r="H264" s="180">
        <f>SUM(K258:K263)</f>
        <v/>
      </c>
      <c r="I264" s="163" t="inlineStr">
        <is>
          <t>毛利/元</t>
        </is>
      </c>
      <c r="J264" s="163">
        <f>D264-H264</f>
        <v/>
      </c>
      <c r="K264" s="163" t="inlineStr">
        <is>
          <t>毛利率</t>
        </is>
      </c>
      <c r="L264" s="162">
        <f>J264/D264</f>
        <v/>
      </c>
    </row>
    <row r="265" hidden="1" ht="15.6" customHeight="1" s="170">
      <c r="A265" s="93" t="inlineStr">
        <is>
          <t>雪顶冰淇淋玉米粑</t>
        </is>
      </c>
      <c r="B265" s="156" t="inlineStr">
        <is>
          <t>甜玉糊</t>
        </is>
      </c>
      <c r="C265" s="92">
        <f>VLOOKUP(B265,原材料价格表!$B$2:$J$242,9,)</f>
        <v/>
      </c>
      <c r="D265" s="92">
        <f>VLOOKUP(B265,原材料价格表!$B$2:$G$436,2,0)</f>
        <v/>
      </c>
      <c r="E265" s="92">
        <f>VLOOKUP(B265,原材料价格表!$B$2:$G$436,3,0)</f>
        <v/>
      </c>
      <c r="F265" s="122">
        <f>H264</f>
        <v/>
      </c>
      <c r="G265" s="92">
        <f>F264</f>
        <v/>
      </c>
      <c r="H265" s="123" t="n">
        <v>1</v>
      </c>
      <c r="I265" s="124">
        <f>F265/G265/H265</f>
        <v/>
      </c>
      <c r="J265" s="92" t="n">
        <v>160</v>
      </c>
      <c r="K265" s="124">
        <f>I265*J265</f>
        <v/>
      </c>
      <c r="L265" s="92" t="n"/>
    </row>
    <row r="266" hidden="1" ht="17.6" customHeight="1" s="170">
      <c r="A266" s="173" t="n"/>
      <c r="B266" s="92" t="inlineStr">
        <is>
          <t>帕玛森干酪</t>
        </is>
      </c>
      <c r="C266" s="92">
        <f>VLOOKUP(B266,原材料价格表!$B$2:$J$242,9,)</f>
        <v/>
      </c>
      <c r="D266" s="92">
        <f>VLOOKUP(B266,原材料价格表!$B$2:$G$436,2,0)</f>
        <v/>
      </c>
      <c r="E266" s="92">
        <f>VLOOKUP(B266,原材料价格表!$B$2:$G$436,3,0)</f>
        <v/>
      </c>
      <c r="F266" s="122">
        <f>VLOOKUP(B266,原材料价格表!$B$2:$G$436,6,0)</f>
        <v/>
      </c>
      <c r="G266" s="92">
        <f>VLOOKUP(B266,原材料价格表!$B$2:$G$436,5,0)</f>
        <v/>
      </c>
      <c r="H266" s="123" t="n">
        <v>1</v>
      </c>
      <c r="I266" s="124">
        <f>F266/G266/H266</f>
        <v/>
      </c>
      <c r="J266" s="92" t="n">
        <v>5</v>
      </c>
      <c r="K266" s="124">
        <f>I266*J266</f>
        <v/>
      </c>
      <c r="L266" s="145" t="n"/>
    </row>
    <row r="267" hidden="1" ht="17.6" customHeight="1" s="170">
      <c r="A267" s="173" t="n"/>
      <c r="B267" s="92" t="inlineStr">
        <is>
          <t>香草冰淇淋</t>
        </is>
      </c>
      <c r="C267" s="92">
        <f>VLOOKUP(B267,原材料价格表!$B$2:$J$242,9,)</f>
        <v/>
      </c>
      <c r="D267" s="92">
        <f>VLOOKUP(B267,原材料价格表!$B$2:$G$436,2,0)</f>
        <v/>
      </c>
      <c r="E267" s="92">
        <f>VLOOKUP(B267,原材料价格表!$B$2:$G$436,3,0)</f>
        <v/>
      </c>
      <c r="F267" s="122">
        <f>VLOOKUP(B267,原材料价格表!$B$2:$G$436,6,0)</f>
        <v/>
      </c>
      <c r="G267" s="92">
        <f>VLOOKUP(B267,原材料价格表!$B$2:$G$436,5,0)</f>
        <v/>
      </c>
      <c r="H267" s="123" t="n">
        <v>1</v>
      </c>
      <c r="I267" s="124">
        <f>F267/G267/H267</f>
        <v/>
      </c>
      <c r="J267" s="92" t="n">
        <v>80</v>
      </c>
      <c r="K267" s="124">
        <f>I267*J267</f>
        <v/>
      </c>
      <c r="L267" s="145" t="n"/>
    </row>
    <row r="268" hidden="1" ht="17.6" customHeight="1" s="170">
      <c r="A268" s="173" t="n"/>
      <c r="B268" s="92" t="inlineStr">
        <is>
          <t>碧根果碎</t>
        </is>
      </c>
      <c r="C268" s="92">
        <f>VLOOKUP(B268,原材料价格表!$B$2:$J$242,9,)</f>
        <v/>
      </c>
      <c r="D268" s="92">
        <f>VLOOKUP(B268,原材料价格表!$B$2:$G$436,2,0)</f>
        <v/>
      </c>
      <c r="E268" s="92">
        <f>VLOOKUP(B268,原材料价格表!$B$2:$G$436,3,0)</f>
        <v/>
      </c>
      <c r="F268" s="122">
        <f>VLOOKUP(B268,原材料价格表!$B$2:$G$436,6,0)</f>
        <v/>
      </c>
      <c r="G268" s="92">
        <f>VLOOKUP(B268,原材料价格表!$B$2:$G$436,5,0)</f>
        <v/>
      </c>
      <c r="H268" s="123" t="n">
        <v>1</v>
      </c>
      <c r="I268" s="124">
        <f>F268/G268/H268</f>
        <v/>
      </c>
      <c r="J268" s="92" t="n">
        <v>15</v>
      </c>
      <c r="K268" s="124">
        <f>I268*J268</f>
        <v/>
      </c>
      <c r="L268" s="145" t="n"/>
    </row>
    <row r="269" hidden="1" ht="18" customHeight="1" s="170">
      <c r="A269" s="174" t="n"/>
      <c r="B269" s="95" t="inlineStr">
        <is>
          <t>售价</t>
        </is>
      </c>
      <c r="C269" s="92" t="n"/>
      <c r="D269" s="175" t="n">
        <v>22</v>
      </c>
      <c r="E269" s="95" t="inlineStr">
        <is>
          <t>售卖份量/g</t>
        </is>
      </c>
      <c r="F269" s="125">
        <f>SUM(J265:J268)</f>
        <v/>
      </c>
      <c r="G269" s="93" t="inlineStr">
        <is>
          <t>总成本（元）</t>
        </is>
      </c>
      <c r="H269" s="176">
        <f>SUM(K265:K268)</f>
        <v/>
      </c>
      <c r="I269" s="127" t="inlineStr">
        <is>
          <t>毛利/元</t>
        </is>
      </c>
      <c r="J269" s="127">
        <f>D269-H269</f>
        <v/>
      </c>
      <c r="K269" s="127" t="inlineStr">
        <is>
          <t>毛利率</t>
        </is>
      </c>
      <c r="L269" s="145">
        <f>J269/D269</f>
        <v/>
      </c>
    </row>
    <row r="270" hidden="1" ht="15.6" customHeight="1" s="170">
      <c r="A270" s="93" t="inlineStr">
        <is>
          <t>野菜卷</t>
        </is>
      </c>
      <c r="B270" s="92" t="inlineStr">
        <is>
          <t>野菜卷（成品）</t>
        </is>
      </c>
      <c r="C270" s="92">
        <f>VLOOKUP(B270,原材料价格表!$B$2:$J$242,9,)</f>
        <v/>
      </c>
      <c r="D270" s="92">
        <f>VLOOKUP(B270,原材料价格表!$B$2:$G$436,2,0)</f>
        <v/>
      </c>
      <c r="E270" s="92">
        <f>VLOOKUP(B270,原材料价格表!$B$2:$G$436,3,0)</f>
        <v/>
      </c>
      <c r="F270" s="122">
        <f>VLOOKUP(B270,原材料价格表!$B$2:$G$436,6,0)</f>
        <v/>
      </c>
      <c r="G270" s="92">
        <f>VLOOKUP(B270,原材料价格表!$B$2:$G$436,5,0)</f>
        <v/>
      </c>
      <c r="H270" s="123" t="n">
        <v>1</v>
      </c>
      <c r="I270" s="124">
        <f>F270/G270/H270</f>
        <v/>
      </c>
      <c r="J270" s="92" t="n">
        <v>6</v>
      </c>
      <c r="K270" s="124">
        <f>I270*J270</f>
        <v/>
      </c>
      <c r="L270" s="92" t="n"/>
    </row>
    <row r="271" hidden="1" ht="18" customHeight="1" s="170">
      <c r="A271" s="174" t="n"/>
      <c r="B271" s="95" t="inlineStr">
        <is>
          <t>售价</t>
        </is>
      </c>
      <c r="C271" s="92" t="n"/>
      <c r="D271" s="175" t="n">
        <v>18</v>
      </c>
      <c r="E271" s="95" t="inlineStr">
        <is>
          <t>售卖份量/g</t>
        </is>
      </c>
      <c r="F271" s="125">
        <f>SUM(J270)</f>
        <v/>
      </c>
      <c r="G271" s="93" t="inlineStr">
        <is>
          <t>总成本（元）</t>
        </is>
      </c>
      <c r="H271" s="176">
        <f>SUM(K270)</f>
        <v/>
      </c>
      <c r="I271" s="127" t="inlineStr">
        <is>
          <t>毛利/元</t>
        </is>
      </c>
      <c r="J271" s="127">
        <f>D271-H271</f>
        <v/>
      </c>
      <c r="K271" s="127" t="inlineStr">
        <is>
          <t>毛利率</t>
        </is>
      </c>
      <c r="L271" s="145">
        <f>J271/D271</f>
        <v/>
      </c>
    </row>
    <row r="272" hidden="1" ht="15.6" customHeight="1" s="170">
      <c r="A272" s="93" t="inlineStr">
        <is>
          <t>山玫瑰炸乳扇</t>
        </is>
      </c>
      <c r="B272" s="92" t="inlineStr">
        <is>
          <t>玫瑰乳扇</t>
        </is>
      </c>
      <c r="C272" s="92">
        <f>VLOOKUP(B272,原材料价格表!$B$2:$J$242,9,)</f>
        <v/>
      </c>
      <c r="D272" s="92">
        <f>VLOOKUP(B272,原材料价格表!$B$2:$G$436,2,0)</f>
        <v/>
      </c>
      <c r="E272" s="92">
        <f>VLOOKUP(B272,原材料价格表!$B$2:$G$436,3,0)</f>
        <v/>
      </c>
      <c r="F272" s="122">
        <f>VLOOKUP(B272,原材料价格表!$B$2:$G$436,6,0)</f>
        <v/>
      </c>
      <c r="G272" s="92">
        <f>VLOOKUP(B272,原材料价格表!$B$2:$G$436,5,0)</f>
        <v/>
      </c>
      <c r="H272" s="123" t="n">
        <v>1</v>
      </c>
      <c r="I272" s="124">
        <f>F272/G272/H272</f>
        <v/>
      </c>
      <c r="J272" s="92" t="n">
        <v>25</v>
      </c>
      <c r="K272" s="124">
        <f>I272*J272</f>
        <v/>
      </c>
      <c r="L272" s="92" t="n"/>
    </row>
    <row r="273" hidden="1" ht="15.6" customHeight="1" s="170">
      <c r="A273" s="173" t="n"/>
      <c r="B273" s="92" t="inlineStr">
        <is>
          <t>玫瑰酱</t>
        </is>
      </c>
      <c r="C273" s="92">
        <f>VLOOKUP(B273,原材料价格表!$B$2:$J$242,9,)</f>
        <v/>
      </c>
      <c r="D273" s="92">
        <f>VLOOKUP(B273,原材料价格表!$B$2:$G$436,2,0)</f>
        <v/>
      </c>
      <c r="E273" s="92">
        <f>VLOOKUP(B273,原材料价格表!$B$2:$G$436,3,0)</f>
        <v/>
      </c>
      <c r="F273" s="122">
        <f>VLOOKUP(B273,原材料价格表!$B$2:$G$436,6,0)</f>
        <v/>
      </c>
      <c r="G273" s="92">
        <f>VLOOKUP(B273,原材料价格表!$B$2:$G$436,5,0)</f>
        <v/>
      </c>
      <c r="H273" s="123" t="n">
        <v>1</v>
      </c>
      <c r="I273" s="124">
        <f>F273/G273/H273</f>
        <v/>
      </c>
      <c r="J273" s="92" t="n">
        <v>40</v>
      </c>
      <c r="K273" s="124">
        <f>I273*J273</f>
        <v/>
      </c>
      <c r="L273" s="92" t="n"/>
    </row>
    <row r="274" hidden="1" ht="15.6" customHeight="1" s="170">
      <c r="A274" s="173" t="n"/>
      <c r="B274" s="92" t="inlineStr">
        <is>
          <t>干玫瑰花</t>
        </is>
      </c>
      <c r="C274" s="92">
        <f>VLOOKUP(B274,原材料价格表!$B$2:$J$242,9,)</f>
        <v/>
      </c>
      <c r="D274" s="92">
        <f>VLOOKUP(B274,原材料价格表!$B$2:$G$436,2,0)</f>
        <v/>
      </c>
      <c r="E274" s="92">
        <f>VLOOKUP(B274,原材料价格表!$B$2:$G$436,3,0)</f>
        <v/>
      </c>
      <c r="F274" s="122">
        <f>VLOOKUP(B274,原材料价格表!$B$2:$G$436,6,0)</f>
        <v/>
      </c>
      <c r="G274" s="92">
        <f>VLOOKUP(B274,原材料价格表!$B$2:$G$436,5,0)</f>
        <v/>
      </c>
      <c r="H274" s="123" t="n">
        <v>1</v>
      </c>
      <c r="I274" s="124">
        <f>F274/G274/H274</f>
        <v/>
      </c>
      <c r="J274" s="92" t="n">
        <v>0.5</v>
      </c>
      <c r="K274" s="124">
        <f>I274*J274</f>
        <v/>
      </c>
      <c r="L274" s="92" t="n"/>
    </row>
    <row r="275" hidden="1" ht="18" customHeight="1" s="170">
      <c r="A275" s="174" t="n"/>
      <c r="B275" s="95" t="inlineStr">
        <is>
          <t>售价</t>
        </is>
      </c>
      <c r="C275" s="92" t="n"/>
      <c r="D275" s="175" t="n">
        <v>22</v>
      </c>
      <c r="E275" s="95" t="inlineStr">
        <is>
          <t>售卖份量/g</t>
        </is>
      </c>
      <c r="F275" s="125">
        <f>SUM(J272:J274)</f>
        <v/>
      </c>
      <c r="G275" s="93" t="inlineStr">
        <is>
          <t>总成本（元）</t>
        </is>
      </c>
      <c r="H275" s="176">
        <f>SUM(K272:K274)</f>
        <v/>
      </c>
      <c r="I275" s="127" t="inlineStr">
        <is>
          <t>毛利/元</t>
        </is>
      </c>
      <c r="J275" s="127">
        <f>D275-H275</f>
        <v/>
      </c>
      <c r="K275" s="127" t="inlineStr">
        <is>
          <t>毛利率</t>
        </is>
      </c>
      <c r="L275" s="145">
        <f>J275/D275</f>
        <v/>
      </c>
    </row>
    <row r="276" ht="15.6" customHeight="1" s="170">
      <c r="A276" s="152" t="inlineStr">
        <is>
          <t>怪噜洋芋酱（半成品）</t>
        </is>
      </c>
      <c r="B276" s="153" t="inlineStr">
        <is>
          <t>蒜蓉辣椒酱</t>
        </is>
      </c>
      <c r="C276" s="82">
        <f>VLOOKUP(B276,原材料价格表!$B$2:$J$242,9,)</f>
        <v/>
      </c>
      <c r="D276" s="153">
        <f>VLOOKUP(B276,原材料价格表!$B$2:$G$436,2,0)</f>
        <v/>
      </c>
      <c r="E276" s="153">
        <f>VLOOKUP(B276,原材料价格表!$B$2:$G$436,3,0)</f>
        <v/>
      </c>
      <c r="F276" s="157">
        <f>VLOOKUP(B276,原材料价格表!$B$2:$G$436,6,0)</f>
        <v/>
      </c>
      <c r="G276" s="153">
        <f>VLOOKUP(B276,原材料价格表!$B$2:$G$436,5,0)</f>
        <v/>
      </c>
      <c r="H276" s="158" t="n">
        <v>1</v>
      </c>
      <c r="I276" s="161">
        <f>F276/G276/H276</f>
        <v/>
      </c>
      <c r="J276" s="153" t="n">
        <v>800</v>
      </c>
      <c r="K276" s="161">
        <f>I276*J276</f>
        <v/>
      </c>
      <c r="L276" s="153" t="n"/>
    </row>
    <row r="277" ht="15.6" customHeight="1" s="170">
      <c r="A277" s="173" t="n"/>
      <c r="B277" s="153" t="inlineStr">
        <is>
          <t>番茄</t>
        </is>
      </c>
      <c r="C277" s="82">
        <f>VLOOKUP(B277,原材料价格表!$B$2:$J$242,9,)</f>
        <v/>
      </c>
      <c r="D277" s="153">
        <f>VLOOKUP(B277,原材料价格表!$B$2:$G$436,2,0)</f>
        <v/>
      </c>
      <c r="E277" s="153">
        <f>VLOOKUP(B277,原材料价格表!$B$2:$G$436,3,0)</f>
        <v/>
      </c>
      <c r="F277" s="157">
        <f>VLOOKUP(B277,原材料价格表!$B$2:$G$436,6,0)</f>
        <v/>
      </c>
      <c r="G277" s="153">
        <f>VLOOKUP(B277,原材料价格表!$B$2:$G$436,5,0)</f>
        <v/>
      </c>
      <c r="H277" s="158" t="n">
        <v>1</v>
      </c>
      <c r="I277" s="161">
        <f>F277/G277/H277</f>
        <v/>
      </c>
      <c r="J277" s="153" t="n">
        <v>4000</v>
      </c>
      <c r="K277" s="161">
        <f>I277*J277</f>
        <v/>
      </c>
      <c r="L277" s="153" t="n"/>
      <c r="N277" s="149">
        <f>18.5*500</f>
        <v/>
      </c>
    </row>
    <row r="278" ht="15.6" customHeight="1" s="170">
      <c r="A278" s="173" t="n"/>
      <c r="B278" s="153" t="inlineStr">
        <is>
          <t>大蒜</t>
        </is>
      </c>
      <c r="C278" s="82">
        <f>VLOOKUP(B278,原材料价格表!$B$2:$J$242,9,)</f>
        <v/>
      </c>
      <c r="D278" s="153">
        <f>VLOOKUP(B278,原材料价格表!$B$2:$G$436,2,0)</f>
        <v/>
      </c>
      <c r="E278" s="153">
        <f>VLOOKUP(B278,原材料价格表!$B$2:$G$436,3,0)</f>
        <v/>
      </c>
      <c r="F278" s="157">
        <f>VLOOKUP(B278,原材料价格表!$B$2:$G$436,6,0)</f>
        <v/>
      </c>
      <c r="G278" s="153">
        <f>VLOOKUP(B278,原材料价格表!$B$2:$G$436,5,0)</f>
        <v/>
      </c>
      <c r="H278" s="158" t="n">
        <v>1</v>
      </c>
      <c r="I278" s="161">
        <f>F278/G278/H278</f>
        <v/>
      </c>
      <c r="J278" s="153" t="n">
        <v>600</v>
      </c>
      <c r="K278" s="161">
        <f>I278*J278</f>
        <v/>
      </c>
      <c r="L278" s="153" t="n"/>
    </row>
    <row r="279" ht="15.6" customHeight="1" s="170">
      <c r="A279" s="173" t="n"/>
      <c r="B279" s="153" t="inlineStr">
        <is>
          <t>姜</t>
        </is>
      </c>
      <c r="C279" s="82">
        <f>VLOOKUP(B279,原材料价格表!$B$2:$J$242,9,)</f>
        <v/>
      </c>
      <c r="D279" s="153">
        <f>VLOOKUP(B279,原材料价格表!$B$2:$G$436,2,0)</f>
        <v/>
      </c>
      <c r="E279" s="153">
        <f>VLOOKUP(B279,原材料价格表!$B$2:$G$436,3,0)</f>
        <v/>
      </c>
      <c r="F279" s="157">
        <f>VLOOKUP(B279,原材料价格表!$B$2:$G$436,6,0)</f>
        <v/>
      </c>
      <c r="G279" s="153">
        <f>VLOOKUP(B279,原材料价格表!$B$2:$G$436,5,0)</f>
        <v/>
      </c>
      <c r="H279" s="158" t="n">
        <v>1</v>
      </c>
      <c r="I279" s="161">
        <f>F279/G279/H279</f>
        <v/>
      </c>
      <c r="J279" s="153" t="n">
        <v>240</v>
      </c>
      <c r="K279" s="161">
        <f>I279*J279</f>
        <v/>
      </c>
      <c r="L279" s="153" t="n"/>
    </row>
    <row r="280" ht="15.6" customHeight="1" s="170">
      <c r="A280" s="173" t="n"/>
      <c r="B280" s="153" t="inlineStr">
        <is>
          <t>黄灯笼辣椒酱</t>
        </is>
      </c>
      <c r="C280" s="82">
        <f>VLOOKUP(B280,原材料价格表!$B$2:$J$242,9,)</f>
        <v/>
      </c>
      <c r="D280" s="153">
        <f>VLOOKUP(B280,原材料价格表!$B$2:$G$436,2,0)</f>
        <v/>
      </c>
      <c r="E280" s="153">
        <f>VLOOKUP(B280,原材料价格表!$B$2:$G$436,3,0)</f>
        <v/>
      </c>
      <c r="F280" s="157">
        <f>VLOOKUP(B280,原材料价格表!$B$2:$G$436,6,0)</f>
        <v/>
      </c>
      <c r="G280" s="153">
        <f>VLOOKUP(B280,原材料价格表!$B$2:$G$436,5,0)</f>
        <v/>
      </c>
      <c r="H280" s="158" t="n">
        <v>1</v>
      </c>
      <c r="I280" s="161">
        <f>F280/G280/H280</f>
        <v/>
      </c>
      <c r="J280" s="153" t="n">
        <v>400</v>
      </c>
      <c r="K280" s="161">
        <f>I280*J280</f>
        <v/>
      </c>
      <c r="L280" s="153" t="n"/>
    </row>
    <row r="281" ht="15.6" customHeight="1" s="170">
      <c r="A281" s="173" t="n"/>
      <c r="B281" s="164" t="inlineStr">
        <is>
          <t>色拉油</t>
        </is>
      </c>
      <c r="C281" s="82">
        <f>VLOOKUP(B281,原材料价格表!$B$2:$J$242,9,)</f>
        <v/>
      </c>
      <c r="D281" s="153">
        <f>VLOOKUP(B281,原材料价格表!$B$2:$G$436,2,0)</f>
        <v/>
      </c>
      <c r="E281" s="153">
        <f>VLOOKUP(B281,原材料价格表!$B$2:$G$436,3,0)</f>
        <v/>
      </c>
      <c r="F281" s="157">
        <f>VLOOKUP(B281,原材料价格表!$B$2:$G$436,6,0)</f>
        <v/>
      </c>
      <c r="G281" s="153">
        <f>VLOOKUP(B281,原材料价格表!$B$2:$G$436,5,0)</f>
        <v/>
      </c>
      <c r="H281" s="158" t="n">
        <v>1</v>
      </c>
      <c r="I281" s="161">
        <f>F281/G281/H281</f>
        <v/>
      </c>
      <c r="J281" s="153" t="n">
        <v>1250</v>
      </c>
      <c r="K281" s="161">
        <f>I281*J281</f>
        <v/>
      </c>
      <c r="L281" s="153" t="n"/>
    </row>
    <row r="282" ht="15.6" customHeight="1" s="170">
      <c r="A282" s="173" t="n"/>
      <c r="B282" s="164" t="inlineStr">
        <is>
          <t>猪肉沫</t>
        </is>
      </c>
      <c r="C282" s="82">
        <f>VLOOKUP(B282,原材料价格表!$B$2:$J$242,9,)</f>
        <v/>
      </c>
      <c r="D282" s="153">
        <f>VLOOKUP(B282,原材料价格表!$B$2:$G$436,2,0)</f>
        <v/>
      </c>
      <c r="E282" s="153">
        <f>VLOOKUP(B282,原材料价格表!$B$2:$G$436,3,0)</f>
        <v/>
      </c>
      <c r="F282" s="157">
        <f>VLOOKUP(B282,原材料价格表!$B$2:$G$436,6,0)</f>
        <v/>
      </c>
      <c r="G282" s="153">
        <f>VLOOKUP(B282,原材料价格表!$B$2:$G$436,5,0)</f>
        <v/>
      </c>
      <c r="H282" s="158" t="n">
        <v>1</v>
      </c>
      <c r="I282" s="161">
        <f>F282/G282/H282</f>
        <v/>
      </c>
      <c r="J282" s="153" t="n">
        <v>5000</v>
      </c>
      <c r="K282" s="161">
        <f>I282*J282</f>
        <v/>
      </c>
      <c r="L282" s="153" t="n"/>
    </row>
    <row r="283" ht="18" customHeight="1" s="170">
      <c r="A283" s="174" t="n"/>
      <c r="B283" s="154" t="inlineStr">
        <is>
          <t>售价</t>
        </is>
      </c>
      <c r="C283" s="82" t="n"/>
      <c r="D283" s="179" t="n"/>
      <c r="E283" s="154" t="inlineStr">
        <is>
          <t>售卖份量/g</t>
        </is>
      </c>
      <c r="F283" s="159" t="n">
        <v>9250</v>
      </c>
      <c r="G283" s="152" t="inlineStr">
        <is>
          <t>总成本（元）</t>
        </is>
      </c>
      <c r="H283" s="180">
        <f>SUM(K276:K282)</f>
        <v/>
      </c>
      <c r="I283" s="163" t="inlineStr">
        <is>
          <t>毛利/元</t>
        </is>
      </c>
      <c r="J283" s="163">
        <f>D283-H283</f>
        <v/>
      </c>
      <c r="K283" s="163" t="inlineStr">
        <is>
          <t>毛利率</t>
        </is>
      </c>
      <c r="L283" s="162">
        <f>J283/D283</f>
        <v/>
      </c>
    </row>
    <row r="284" hidden="1" ht="15.6" customHeight="1" s="170">
      <c r="A284" s="93" t="inlineStr">
        <is>
          <t>怪噜洋芋</t>
        </is>
      </c>
      <c r="B284" s="92" t="inlineStr">
        <is>
          <t>土豆</t>
        </is>
      </c>
      <c r="C284" s="92">
        <f>VLOOKUP(B284,原材料价格表!$B$2:$J$242,9,)</f>
        <v/>
      </c>
      <c r="D284" s="92">
        <f>VLOOKUP(B284,原材料价格表!$B$2:$G$436,2,0)</f>
        <v/>
      </c>
      <c r="E284" s="92">
        <f>VLOOKUP(B284,原材料价格表!$B$2:$G$436,3,0)</f>
        <v/>
      </c>
      <c r="F284" s="122">
        <f>VLOOKUP(B284,原材料价格表!$B$2:$G$436,6,0)</f>
        <v/>
      </c>
      <c r="G284" s="92">
        <f>VLOOKUP(B284,原材料价格表!$B$2:$G$436,5,0)</f>
        <v/>
      </c>
      <c r="H284" s="123" t="n">
        <v>1</v>
      </c>
      <c r="I284" s="124">
        <f>F284/G284/H284</f>
        <v/>
      </c>
      <c r="J284" s="92" t="n">
        <v>300</v>
      </c>
      <c r="K284" s="124">
        <f>I284*J284</f>
        <v/>
      </c>
      <c r="L284" s="92" t="n"/>
    </row>
    <row r="285" hidden="1" ht="15.6" customHeight="1" s="170">
      <c r="A285" s="173" t="n"/>
      <c r="B285" s="92" t="inlineStr">
        <is>
          <t>贵州五香辣椒面</t>
        </is>
      </c>
      <c r="C285" s="92">
        <f>VLOOKUP(B285,原材料价格表!$B$2:$J$242,9,)</f>
        <v/>
      </c>
      <c r="D285" s="92">
        <f>VLOOKUP(B285,原材料价格表!$B$2:$G$436,2,0)</f>
        <v/>
      </c>
      <c r="E285" s="92">
        <f>VLOOKUP(B285,原材料价格表!$B$2:$G$436,3,0)</f>
        <v/>
      </c>
      <c r="F285" s="122" t="n">
        <v>20</v>
      </c>
      <c r="G285" s="92">
        <f>VLOOKUP(B285,原材料价格表!$B$2:$G$436,5,0)</f>
        <v/>
      </c>
      <c r="H285" s="123" t="n">
        <v>1</v>
      </c>
      <c r="I285" s="124">
        <f>F285/G285/H285</f>
        <v/>
      </c>
      <c r="J285" s="92" t="n">
        <v>5</v>
      </c>
      <c r="K285" s="124">
        <f>I285*J285</f>
        <v/>
      </c>
      <c r="L285" s="92" t="n"/>
    </row>
    <row r="286" hidden="1" ht="15.6" customHeight="1" s="170">
      <c r="A286" s="173" t="n"/>
      <c r="B286" s="92" t="inlineStr">
        <is>
          <t>折耳根</t>
        </is>
      </c>
      <c r="C286" s="92">
        <f>VLOOKUP(B286,原材料价格表!$B$2:$J$242,9,)</f>
        <v/>
      </c>
      <c r="D286" s="92">
        <f>VLOOKUP(B286,原材料价格表!$B$2:$G$436,2,0)</f>
        <v/>
      </c>
      <c r="E286" s="92">
        <f>VLOOKUP(B286,原材料价格表!$B$2:$G$436,3,0)</f>
        <v/>
      </c>
      <c r="F286" s="122">
        <f>VLOOKUP(B286,原材料价格表!$B$2:$G$436,6,0)</f>
        <v/>
      </c>
      <c r="G286" s="92">
        <f>VLOOKUP(B286,原材料价格表!$B$2:$G$436,5,0)</f>
        <v/>
      </c>
      <c r="H286" s="123" t="n">
        <v>0.95</v>
      </c>
      <c r="I286" s="124">
        <f>F286/G286/H286</f>
        <v/>
      </c>
      <c r="J286" s="92" t="n">
        <v>15</v>
      </c>
      <c r="K286" s="124">
        <f>I286*J286</f>
        <v/>
      </c>
      <c r="L286" s="92" t="n"/>
    </row>
    <row r="287" hidden="1" ht="15.6" customHeight="1" s="170">
      <c r="A287" s="173" t="n"/>
      <c r="B287" s="92" t="inlineStr">
        <is>
          <t>泡萝卜</t>
        </is>
      </c>
      <c r="C287" s="92">
        <f>VLOOKUP(B287,原材料价格表!$B$2:$J$242,9,)</f>
        <v/>
      </c>
      <c r="D287" s="92">
        <f>VLOOKUP(B287,原材料价格表!$B$2:$G$436,2,0)</f>
        <v/>
      </c>
      <c r="E287" s="92">
        <f>VLOOKUP(B287,原材料价格表!$B$2:$G$436,3,0)</f>
        <v/>
      </c>
      <c r="F287" s="122">
        <f>VLOOKUP(B287,原材料价格表!$B$2:$G$436,6,0)</f>
        <v/>
      </c>
      <c r="G287" s="92">
        <f>VLOOKUP(B287,原材料价格表!$B$2:$G$436,5,0)</f>
        <v/>
      </c>
      <c r="H287" s="123" t="n">
        <v>1</v>
      </c>
      <c r="I287" s="124">
        <f>F287/G287/H287</f>
        <v/>
      </c>
      <c r="J287" s="92" t="n">
        <v>10</v>
      </c>
      <c r="K287" s="124">
        <f>I287*J287</f>
        <v/>
      </c>
      <c r="L287" s="92" t="n"/>
    </row>
    <row r="288" hidden="1" ht="15.6" customHeight="1" s="170">
      <c r="A288" s="173" t="n"/>
      <c r="B288" s="156" t="inlineStr">
        <is>
          <t>怪噜洋芋酱</t>
        </is>
      </c>
      <c r="C288" s="92">
        <f>VLOOKUP(B288,原材料价格表!$B$2:$J$242,9,)</f>
        <v/>
      </c>
      <c r="D288" s="92">
        <f>VLOOKUP(B288,原材料价格表!$B$2:$G$436,2,0)</f>
        <v/>
      </c>
      <c r="E288" s="92">
        <f>VLOOKUP(B288,原材料价格表!$B$2:$G$436,3,0)</f>
        <v/>
      </c>
      <c r="F288" s="122">
        <f>H283</f>
        <v/>
      </c>
      <c r="G288" s="92">
        <f>F283</f>
        <v/>
      </c>
      <c r="H288" s="123" t="n">
        <v>1</v>
      </c>
      <c r="I288" s="124">
        <f>F288/G288/H288</f>
        <v/>
      </c>
      <c r="J288" s="92" t="n">
        <v>70</v>
      </c>
      <c r="K288" s="124">
        <f>I288*J288</f>
        <v/>
      </c>
      <c r="L288" s="92" t="n"/>
    </row>
    <row r="289" hidden="1" ht="15.6" customHeight="1" s="170">
      <c r="A289" s="173" t="n"/>
      <c r="B289" s="94" t="inlineStr">
        <is>
          <t>油炸折耳根</t>
        </is>
      </c>
      <c r="C289" s="92">
        <f>VLOOKUP(B289,原材料价格表!$B$2:$J$242,9,)</f>
        <v/>
      </c>
      <c r="D289" s="92">
        <f>VLOOKUP(B289,原材料价格表!$B$2:$G$436,2,0)</f>
        <v/>
      </c>
      <c r="E289" s="92">
        <f>VLOOKUP(B289,原材料价格表!$B$2:$G$436,3,0)</f>
        <v/>
      </c>
      <c r="F289" s="122">
        <f>VLOOKUP(B289,原材料价格表!$B$2:$G$436,6,0)</f>
        <v/>
      </c>
      <c r="G289" s="92">
        <f>VLOOKUP(B289,原材料价格表!$B$2:$G$436,5,0)</f>
        <v/>
      </c>
      <c r="H289" s="123" t="n">
        <v>1</v>
      </c>
      <c r="I289" s="124">
        <f>F289/G289/H289</f>
        <v/>
      </c>
      <c r="J289" s="92" t="n">
        <v>5</v>
      </c>
      <c r="K289" s="124">
        <f>I289*J289</f>
        <v/>
      </c>
      <c r="L289" s="92" t="n"/>
    </row>
    <row r="290" hidden="1" ht="18" customHeight="1" s="170">
      <c r="A290" s="174" t="n"/>
      <c r="B290" s="95" t="inlineStr">
        <is>
          <t>售价</t>
        </is>
      </c>
      <c r="C290" s="92" t="n"/>
      <c r="D290" s="175" t="n">
        <v>18</v>
      </c>
      <c r="E290" s="95" t="inlineStr">
        <is>
          <t>售卖份量/g</t>
        </is>
      </c>
      <c r="F290" s="125">
        <f>SUM(J284:J289)</f>
        <v/>
      </c>
      <c r="G290" s="93" t="inlineStr">
        <is>
          <t>总成本（元）</t>
        </is>
      </c>
      <c r="H290" s="176">
        <f>SUM(K284:K289)</f>
        <v/>
      </c>
      <c r="I290" s="127" t="inlineStr">
        <is>
          <t>毛利/元</t>
        </is>
      </c>
      <c r="J290" s="127">
        <f>D290-H290</f>
        <v/>
      </c>
      <c r="K290" s="127" t="inlineStr">
        <is>
          <t>毛利率</t>
        </is>
      </c>
      <c r="L290" s="145">
        <f>J290/D290</f>
        <v/>
      </c>
    </row>
    <row r="291" ht="15.6" customHeight="1" s="170">
      <c r="A291" s="152" t="inlineStr">
        <is>
          <t>紫苏汤（半成品）</t>
        </is>
      </c>
      <c r="B291" s="153" t="inlineStr">
        <is>
          <t>紫苏叶</t>
        </is>
      </c>
      <c r="C291" s="82">
        <f>VLOOKUP(B291,原材料价格表!$B$2:$J$242,9,)</f>
        <v/>
      </c>
      <c r="D291" s="153">
        <f>VLOOKUP(B291,原材料价格表!$B$2:$G$436,2,0)</f>
        <v/>
      </c>
      <c r="E291" s="153">
        <f>VLOOKUP(B291,原材料价格表!$B$2:$G$436,3,0)</f>
        <v/>
      </c>
      <c r="F291" s="157">
        <f>VLOOKUP(B291,原材料价格表!$B$2:$G$436,6,0)</f>
        <v/>
      </c>
      <c r="G291" s="153">
        <f>VLOOKUP(B291,原材料价格表!$B$2:$G$436,5,0)</f>
        <v/>
      </c>
      <c r="H291" s="158" t="n">
        <v>1</v>
      </c>
      <c r="I291" s="161">
        <f>F291/G291/H291</f>
        <v/>
      </c>
      <c r="J291" s="153" t="n">
        <v>200</v>
      </c>
      <c r="K291" s="161">
        <f>I291*J291</f>
        <v/>
      </c>
      <c r="L291" s="153" t="n"/>
    </row>
    <row r="292" ht="15.6" customHeight="1" s="170">
      <c r="A292" s="173" t="n"/>
      <c r="B292" s="153" t="inlineStr">
        <is>
          <t>水</t>
        </is>
      </c>
      <c r="C292" s="82">
        <f>VLOOKUP(B292,原材料价格表!$B$2:$J$242,9,)</f>
        <v/>
      </c>
      <c r="D292" s="153">
        <f>VLOOKUP(B292,原材料价格表!$B$2:$G$436,2,0)</f>
        <v/>
      </c>
      <c r="E292" s="153">
        <f>VLOOKUP(B292,原材料价格表!$B$2:$G$436,3,0)</f>
        <v/>
      </c>
      <c r="F292" s="157">
        <f>VLOOKUP(B292,原材料价格表!$B$2:$G$436,6,0)</f>
        <v/>
      </c>
      <c r="G292" s="153">
        <f>VLOOKUP(B292,原材料价格表!$B$2:$G$436,5,0)</f>
        <v/>
      </c>
      <c r="H292" s="158" t="n">
        <v>1</v>
      </c>
      <c r="I292" s="161">
        <f>F292/G292/H292</f>
        <v/>
      </c>
      <c r="J292" s="153" t="n">
        <v>1000</v>
      </c>
      <c r="K292" s="161">
        <f>I292*J292</f>
        <v/>
      </c>
      <c r="L292" s="153" t="n"/>
    </row>
    <row r="293" ht="17.6" customHeight="1" s="170">
      <c r="A293" s="173" t="n"/>
      <c r="B293" s="153" t="inlineStr">
        <is>
          <t>白糖</t>
        </is>
      </c>
      <c r="C293" s="82">
        <f>VLOOKUP(B293,原材料价格表!$B$2:$J$242,9,)</f>
        <v/>
      </c>
      <c r="D293" s="153">
        <f>VLOOKUP(B293,原材料价格表!$B$2:$G$436,2,0)</f>
        <v/>
      </c>
      <c r="E293" s="153">
        <f>VLOOKUP(B293,原材料价格表!$B$2:$G$436,3,0)</f>
        <v/>
      </c>
      <c r="F293" s="157">
        <f>VLOOKUP(B293,原材料价格表!$B$2:$G$436,6,0)</f>
        <v/>
      </c>
      <c r="G293" s="153">
        <f>VLOOKUP(B293,原材料价格表!$B$2:$G$436,5,0)</f>
        <v/>
      </c>
      <c r="H293" s="158" t="n">
        <v>1</v>
      </c>
      <c r="I293" s="161">
        <f>F293/G293/H293</f>
        <v/>
      </c>
      <c r="J293" s="153" t="n">
        <v>200</v>
      </c>
      <c r="K293" s="161">
        <f>I293*J293</f>
        <v/>
      </c>
      <c r="L293" s="162" t="n"/>
    </row>
    <row r="294" ht="17.6" customHeight="1" s="170">
      <c r="A294" s="173" t="n"/>
      <c r="B294" s="153" t="inlineStr">
        <is>
          <t>苹果醋</t>
        </is>
      </c>
      <c r="C294" s="82">
        <f>VLOOKUP(B294,原材料价格表!$B$2:$J$242,9,)</f>
        <v/>
      </c>
      <c r="D294" s="153">
        <f>VLOOKUP(B294,原材料价格表!$B$2:$G$436,2,0)</f>
        <v/>
      </c>
      <c r="E294" s="153">
        <f>VLOOKUP(B294,原材料价格表!$B$2:$G$436,3,0)</f>
        <v/>
      </c>
      <c r="F294" s="157">
        <f>VLOOKUP(B294,原材料价格表!$B$2:$G$436,6,0)</f>
        <v/>
      </c>
      <c r="G294" s="153">
        <f>VLOOKUP(B294,原材料价格表!$B$2:$G$436,5,0)</f>
        <v/>
      </c>
      <c r="H294" s="158" t="n">
        <v>1</v>
      </c>
      <c r="I294" s="161">
        <f>F294/G294/H294</f>
        <v/>
      </c>
      <c r="J294" s="153" t="n">
        <v>200</v>
      </c>
      <c r="K294" s="161">
        <f>I294*J294</f>
        <v/>
      </c>
      <c r="L294" s="162" t="n"/>
    </row>
    <row r="295" ht="17.6" customHeight="1" s="170">
      <c r="A295" s="173" t="n"/>
      <c r="B295" s="153" t="inlineStr">
        <is>
          <t>仔姜</t>
        </is>
      </c>
      <c r="C295" s="82">
        <f>VLOOKUP(B295,原材料价格表!$B$2:$J$242,9,)</f>
        <v/>
      </c>
      <c r="D295" s="153">
        <f>VLOOKUP(B295,原材料价格表!$B$2:$G$436,2,0)</f>
        <v/>
      </c>
      <c r="E295" s="153">
        <f>VLOOKUP(B295,原材料价格表!$B$2:$G$436,3,0)</f>
        <v/>
      </c>
      <c r="F295" s="157">
        <f>VLOOKUP(B295,原材料价格表!$B$2:$G$436,6,0)</f>
        <v/>
      </c>
      <c r="G295" s="153">
        <f>VLOOKUP(B295,原材料价格表!$B$2:$G$436,5,0)</f>
        <v/>
      </c>
      <c r="H295" s="158" t="n">
        <v>1</v>
      </c>
      <c r="I295" s="161">
        <f>F295/G295/H295</f>
        <v/>
      </c>
      <c r="J295" s="153" t="n">
        <v>90</v>
      </c>
      <c r="K295" s="161">
        <f>I295*J295</f>
        <v/>
      </c>
      <c r="L295" s="162" t="n"/>
    </row>
    <row r="296" ht="17.6" customHeight="1" s="170">
      <c r="A296" s="173" t="n"/>
      <c r="B296" s="153" t="inlineStr">
        <is>
          <t>紫苏叶</t>
        </is>
      </c>
      <c r="C296" s="82">
        <f>VLOOKUP(B296,原材料价格表!$B$2:$J$242,9,)</f>
        <v/>
      </c>
      <c r="D296" s="153">
        <f>VLOOKUP(B296,原材料价格表!$B$2:$G$436,2,0)</f>
        <v/>
      </c>
      <c r="E296" s="153">
        <f>VLOOKUP(B296,原材料价格表!$B$2:$G$436,3,0)</f>
        <v/>
      </c>
      <c r="F296" s="157">
        <f>VLOOKUP(B296,原材料价格表!$B$2:$G$436,6,0)</f>
        <v/>
      </c>
      <c r="G296" s="153">
        <f>VLOOKUP(B296,原材料价格表!$B$2:$G$436,5,0)</f>
        <v/>
      </c>
      <c r="H296" s="158" t="n">
        <v>1</v>
      </c>
      <c r="I296" s="161">
        <f>F296/G296/H296</f>
        <v/>
      </c>
      <c r="J296" s="153" t="n">
        <v>50</v>
      </c>
      <c r="K296" s="161">
        <f>I296*J296</f>
        <v/>
      </c>
      <c r="L296" s="162" t="n"/>
    </row>
    <row r="297" ht="18" customHeight="1" s="170">
      <c r="A297" s="174" t="n"/>
      <c r="B297" s="154" t="inlineStr">
        <is>
          <t>售价</t>
        </is>
      </c>
      <c r="C297" s="82" t="n"/>
      <c r="D297" s="179" t="n"/>
      <c r="E297" s="154" t="inlineStr">
        <is>
          <t>售卖份量/g</t>
        </is>
      </c>
      <c r="F297" s="159">
        <f>SUM(J291:J296)</f>
        <v/>
      </c>
      <c r="G297" s="152" t="inlineStr">
        <is>
          <t>总成本（元）</t>
        </is>
      </c>
      <c r="H297" s="180">
        <f>SUM(K291:K296)</f>
        <v/>
      </c>
      <c r="I297" s="163" t="inlineStr">
        <is>
          <t>毛利/元</t>
        </is>
      </c>
      <c r="J297" s="163">
        <f>D297-H297</f>
        <v/>
      </c>
      <c r="K297" s="163" t="inlineStr">
        <is>
          <t>毛利率</t>
        </is>
      </c>
      <c r="L297" s="162">
        <f>J297/D297</f>
        <v/>
      </c>
    </row>
    <row r="298" hidden="1" ht="15.6" customHeight="1" s="170">
      <c r="A298" s="93" t="inlineStr">
        <is>
          <t>紫苏桃子</t>
        </is>
      </c>
      <c r="B298" s="92" t="inlineStr">
        <is>
          <t>水蜜桃</t>
        </is>
      </c>
      <c r="C298" s="92">
        <f>VLOOKUP(B298,原材料价格表!$B$2:$J$242,9,)</f>
        <v/>
      </c>
      <c r="D298" s="92">
        <f>VLOOKUP(B298,原材料价格表!$B$2:$G$436,2,0)</f>
        <v/>
      </c>
      <c r="E298" s="92">
        <f>VLOOKUP(B298,原材料价格表!$B$2:$G$436,3,0)</f>
        <v/>
      </c>
      <c r="F298" s="122">
        <f>VLOOKUP(B298,原材料价格表!$B$2:$G$436,6,0)</f>
        <v/>
      </c>
      <c r="G298" s="92">
        <f>VLOOKUP(B298,原材料价格表!$B$2:$G$436,5,0)</f>
        <v/>
      </c>
      <c r="H298" s="123" t="n">
        <v>0.9</v>
      </c>
      <c r="I298" s="124">
        <f>F298/G298/H298</f>
        <v/>
      </c>
      <c r="J298" s="92" t="n">
        <v>150</v>
      </c>
      <c r="K298" s="124">
        <f>I298*J298</f>
        <v/>
      </c>
      <c r="L298" s="92" t="n"/>
    </row>
    <row r="299" hidden="1" ht="15.6" customHeight="1" s="170">
      <c r="A299" s="173" t="n"/>
      <c r="B299" s="92" t="inlineStr">
        <is>
          <t>荔枝</t>
        </is>
      </c>
      <c r="C299" s="92">
        <f>VLOOKUP(B299,原材料价格表!$B$2:$J$242,9,)</f>
        <v/>
      </c>
      <c r="D299" s="92">
        <f>VLOOKUP(B299,原材料价格表!$B$2:$G$436,2,0)</f>
        <v/>
      </c>
      <c r="E299" s="92">
        <f>VLOOKUP(B299,原材料价格表!$B$2:$G$436,3,0)</f>
        <v/>
      </c>
      <c r="F299" s="122">
        <f>VLOOKUP(B299,原材料价格表!$B$2:$G$436,6,0)</f>
        <v/>
      </c>
      <c r="G299" s="92">
        <f>VLOOKUP(B299,原材料价格表!$B$2:$G$436,5,0)</f>
        <v/>
      </c>
      <c r="H299" s="123" t="n">
        <v>1</v>
      </c>
      <c r="I299" s="124">
        <f>F299/G299/H299</f>
        <v/>
      </c>
      <c r="J299" s="92" t="n">
        <v>3</v>
      </c>
      <c r="K299" s="124">
        <f>I299*J299</f>
        <v/>
      </c>
      <c r="L299" s="92" t="n"/>
    </row>
    <row r="300" hidden="1" ht="15.6" customHeight="1" s="170">
      <c r="A300" s="173" t="n"/>
      <c r="B300" s="156" t="inlineStr">
        <is>
          <t>紫苏汤</t>
        </is>
      </c>
      <c r="C300" s="92">
        <f>VLOOKUP(B300,原材料价格表!$B$2:$J$242,9,)</f>
        <v/>
      </c>
      <c r="D300" s="92">
        <f>VLOOKUP(B300,原材料价格表!$B$2:$G$436,2,0)</f>
        <v/>
      </c>
      <c r="E300" s="92">
        <f>VLOOKUP(B300,原材料价格表!$B$2:$G$436,3,0)</f>
        <v/>
      </c>
      <c r="F300" s="122">
        <f>H297</f>
        <v/>
      </c>
      <c r="G300" s="92">
        <f>F297</f>
        <v/>
      </c>
      <c r="H300" s="123" t="n">
        <v>1</v>
      </c>
      <c r="I300" s="124">
        <f>F300/G300/H300</f>
        <v/>
      </c>
      <c r="J300" s="92" t="n">
        <v>290</v>
      </c>
      <c r="K300" s="124">
        <f>I300*J300</f>
        <v/>
      </c>
      <c r="L300" s="92" t="n"/>
    </row>
    <row r="301" hidden="1" ht="18" customHeight="1" s="170">
      <c r="A301" s="174" t="n"/>
      <c r="B301" s="95" t="inlineStr">
        <is>
          <t>售价</t>
        </is>
      </c>
      <c r="C301" s="92" t="n"/>
      <c r="D301" s="175" t="n">
        <v>16</v>
      </c>
      <c r="E301" s="95" t="inlineStr">
        <is>
          <t>售卖份量/g</t>
        </is>
      </c>
      <c r="F301" s="125">
        <f>SUM(J298:J300)</f>
        <v/>
      </c>
      <c r="G301" s="93" t="inlineStr">
        <is>
          <t>总成本（元）</t>
        </is>
      </c>
      <c r="H301" s="176">
        <f>SUM(K298:K300)</f>
        <v/>
      </c>
      <c r="I301" s="127" t="inlineStr">
        <is>
          <t>毛利/元</t>
        </is>
      </c>
      <c r="J301" s="127">
        <f>D301-H301</f>
        <v/>
      </c>
      <c r="K301" s="127" t="inlineStr">
        <is>
          <t>毛利率</t>
        </is>
      </c>
      <c r="L301" s="145">
        <f>J301/D301</f>
        <v/>
      </c>
    </row>
    <row r="302" hidden="1" ht="15.6" customHeight="1" s="170">
      <c r="C302" s="92">
        <f>VLOOKUP(B302,原材料价格表!$B$2:$J$242,9,)</f>
        <v/>
      </c>
    </row>
    <row r="303" hidden="1" ht="15.6" customHeight="1" s="170">
      <c r="C303" s="92">
        <f>VLOOKUP(B303,原材料价格表!$B$2:$J$242,9,)</f>
        <v/>
      </c>
    </row>
    <row r="304" hidden="1" ht="15.6" customHeight="1" s="170">
      <c r="A304" s="91" t="inlineStr">
        <is>
          <t>铁棍山药面</t>
        </is>
      </c>
      <c r="B304" s="94" t="inlineStr">
        <is>
          <t>铁棍山药面</t>
        </is>
      </c>
      <c r="C304" s="92">
        <f>VLOOKUP(B304,原材料价格表!$B$2:$J$242,9,)</f>
        <v/>
      </c>
      <c r="D304" s="92">
        <f>VLOOKUP(B304,原材料价格表!$B$2:$G$436,2,0)</f>
        <v/>
      </c>
      <c r="E304" s="92">
        <f>VLOOKUP(B304,原材料价格表!$B$2:$G$436,3,0)</f>
        <v/>
      </c>
      <c r="F304" s="122">
        <f>VLOOKUP(B304,原材料价格表!$B$2:$G$436,6,0)</f>
        <v/>
      </c>
      <c r="G304" s="92">
        <f>VLOOKUP(B304,原材料价格表!$B$2:$G$436,5,0)</f>
        <v/>
      </c>
      <c r="H304" s="123" t="n">
        <v>0.9</v>
      </c>
      <c r="I304" s="124">
        <f>F304/G304/H304</f>
        <v/>
      </c>
      <c r="J304" s="92" t="n">
        <v>125</v>
      </c>
      <c r="K304" s="124">
        <f>I304*J304</f>
        <v/>
      </c>
      <c r="L304" s="92" t="n"/>
    </row>
    <row r="305" hidden="1" ht="18" customHeight="1" s="170">
      <c r="A305" s="174" t="n"/>
      <c r="B305" s="95" t="inlineStr">
        <is>
          <t>售价</t>
        </is>
      </c>
      <c r="C305" s="92" t="n"/>
      <c r="D305" s="175" t="n">
        <v>12</v>
      </c>
      <c r="E305" s="95" t="inlineStr">
        <is>
          <t>售卖份量/g</t>
        </is>
      </c>
      <c r="F305" s="125">
        <f>SUM(J304:J304)</f>
        <v/>
      </c>
      <c r="G305" s="93" t="inlineStr">
        <is>
          <t>总成本（元）</t>
        </is>
      </c>
      <c r="H305" s="176">
        <f>SUM(K304:K304)</f>
        <v/>
      </c>
      <c r="I305" s="127" t="inlineStr">
        <is>
          <t>毛利/元</t>
        </is>
      </c>
      <c r="J305" s="127">
        <f>D305-H305</f>
        <v/>
      </c>
      <c r="K305" s="127" t="inlineStr">
        <is>
          <t>毛利率</t>
        </is>
      </c>
      <c r="L305" s="145">
        <f>J305/D305</f>
        <v/>
      </c>
    </row>
    <row r="306" hidden="1" ht="15.6" customHeight="1" s="170">
      <c r="A306" s="91" t="inlineStr">
        <is>
          <t>黔南布依带皮牛肉</t>
        </is>
      </c>
      <c r="B306" s="94" t="inlineStr">
        <is>
          <t>带皮牛肉</t>
        </is>
      </c>
      <c r="C306" s="92">
        <f>VLOOKUP(B306,原材料价格表!$B$2:$J$242,9,)</f>
        <v/>
      </c>
      <c r="D306" s="92">
        <f>VLOOKUP(B306,原材料价格表!$B$2:$G$436,2,0)</f>
        <v/>
      </c>
      <c r="E306" s="92">
        <f>VLOOKUP(B306,原材料价格表!$B$2:$G$436,3,0)</f>
        <v/>
      </c>
      <c r="F306" s="122">
        <f>VLOOKUP(B306,原材料价格表!$B$2:$G$436,6,0)</f>
        <v/>
      </c>
      <c r="G306" s="92">
        <f>VLOOKUP(B306,原材料价格表!$B$2:$G$436,5,0)</f>
        <v/>
      </c>
      <c r="H306" s="123" t="n">
        <v>1</v>
      </c>
      <c r="I306" s="124">
        <f>F306/G306/H306</f>
        <v/>
      </c>
      <c r="J306" s="92" t="n">
        <v>150</v>
      </c>
      <c r="K306" s="124">
        <f>I306*J306</f>
        <v/>
      </c>
      <c r="L306" s="92" t="n"/>
    </row>
    <row r="307" hidden="1" ht="15.6" customHeight="1" s="170">
      <c r="A307" s="173" t="n"/>
      <c r="B307" s="94" t="inlineStr">
        <is>
          <t>粽叶</t>
        </is>
      </c>
      <c r="C307" s="92">
        <f>VLOOKUP(B307,原材料价格表!$B$2:$J$242,9,)</f>
        <v/>
      </c>
      <c r="D307" s="92">
        <f>VLOOKUP(B307,原材料价格表!$B$2:$G$436,2,0)</f>
        <v/>
      </c>
      <c r="E307" s="92">
        <f>VLOOKUP(B307,原材料价格表!$B$2:$G$436,3,0)</f>
        <v/>
      </c>
      <c r="F307" s="122">
        <f>VLOOKUP(B307,原材料价格表!$B$2:$G$436,6,0)</f>
        <v/>
      </c>
      <c r="G307" s="92">
        <f>VLOOKUP(B307,原材料价格表!$B$2:$G$436,5,0)</f>
        <v/>
      </c>
      <c r="H307" s="123" t="n">
        <v>1</v>
      </c>
      <c r="I307" s="124">
        <f>F307/G307/H307</f>
        <v/>
      </c>
      <c r="J307" s="92" t="n">
        <v>1</v>
      </c>
      <c r="K307" s="124">
        <f>I307*J307</f>
        <v/>
      </c>
      <c r="L307" s="92" t="n"/>
    </row>
    <row r="308" hidden="1" ht="18" customHeight="1" s="170">
      <c r="A308" s="174" t="n"/>
      <c r="B308" s="95" t="inlineStr">
        <is>
          <t>售价</t>
        </is>
      </c>
      <c r="C308" s="92" t="n"/>
      <c r="D308" s="175" t="n">
        <v>42</v>
      </c>
      <c r="E308" s="95" t="inlineStr">
        <is>
          <t>售卖份量/g</t>
        </is>
      </c>
      <c r="F308" s="125">
        <f>SUM(J306:J307)</f>
        <v/>
      </c>
      <c r="G308" s="93" t="inlineStr">
        <is>
          <t>总成本（元）</t>
        </is>
      </c>
      <c r="H308" s="176">
        <f>SUM(K306:K307)</f>
        <v/>
      </c>
      <c r="I308" s="127" t="inlineStr">
        <is>
          <t>毛利/元</t>
        </is>
      </c>
      <c r="J308" s="127">
        <f>D308-H308</f>
        <v/>
      </c>
      <c r="K308" s="127" t="inlineStr">
        <is>
          <t>毛利率</t>
        </is>
      </c>
      <c r="L308" s="145">
        <f>J308/D308</f>
        <v/>
      </c>
    </row>
    <row r="309" hidden="1" ht="15.6" customHeight="1" s="170">
      <c r="A309" s="91" t="inlineStr">
        <is>
          <t>净海老鱼花胶</t>
        </is>
      </c>
      <c r="B309" s="94" t="inlineStr">
        <is>
          <t>花胶</t>
        </is>
      </c>
      <c r="C309" s="92">
        <f>VLOOKUP(B309,原材料价格表!$B$2:$J$242,9,)</f>
        <v/>
      </c>
      <c r="D309" s="92">
        <f>VLOOKUP(B309,原材料价格表!$B$2:$G$436,2,0)</f>
        <v/>
      </c>
      <c r="E309" s="92">
        <f>VLOOKUP(B309,原材料价格表!$B$2:$G$436,3,0)</f>
        <v/>
      </c>
      <c r="F309" s="122">
        <f>VLOOKUP(B309,原材料价格表!$B$2:$G$436,6,0)</f>
        <v/>
      </c>
      <c r="G309" s="92">
        <f>VLOOKUP(B309,原材料价格表!$B$2:$G$436,5,0)</f>
        <v/>
      </c>
      <c r="H309" s="123" t="n">
        <v>0.9</v>
      </c>
      <c r="I309" s="124">
        <f>F309/G309/H309</f>
        <v/>
      </c>
      <c r="J309" s="92" t="n">
        <v>120</v>
      </c>
      <c r="K309" s="124">
        <f>I309*J309</f>
        <v/>
      </c>
      <c r="L309" s="92" t="n"/>
    </row>
    <row r="310" hidden="1" ht="15.6" customHeight="1" s="170">
      <c r="A310" s="173" t="n"/>
      <c r="B310" s="94" t="inlineStr">
        <is>
          <t>红枫叶</t>
        </is>
      </c>
      <c r="C310" s="92">
        <f>VLOOKUP(B310,原材料价格表!$B$2:$J$242,9,)</f>
        <v/>
      </c>
      <c r="D310" s="92">
        <f>VLOOKUP(B310,原材料价格表!$B$2:$G$436,2,0)</f>
        <v/>
      </c>
      <c r="E310" s="92">
        <f>VLOOKUP(B310,原材料价格表!$B$2:$G$436,3,0)</f>
        <v/>
      </c>
      <c r="F310" s="122">
        <f>VLOOKUP(B310,原材料价格表!$B$2:$G$436,6,0)</f>
        <v/>
      </c>
      <c r="G310" s="92">
        <f>VLOOKUP(B310,原材料价格表!$B$2:$G$436,5,0)</f>
        <v/>
      </c>
      <c r="H310" s="123" t="n">
        <v>1</v>
      </c>
      <c r="I310" s="124">
        <f>F310/G310/H310</f>
        <v/>
      </c>
      <c r="J310" s="92" t="n">
        <v>1</v>
      </c>
      <c r="K310" s="124">
        <f>I310*J310</f>
        <v/>
      </c>
      <c r="L310" s="92" t="n"/>
    </row>
    <row r="311" hidden="1" ht="18" customHeight="1" s="170">
      <c r="A311" s="174" t="n"/>
      <c r="B311" s="95" t="inlineStr">
        <is>
          <t>售价</t>
        </is>
      </c>
      <c r="C311" s="92" t="n"/>
      <c r="D311" s="175" t="n">
        <v>48</v>
      </c>
      <c r="E311" s="95" t="inlineStr">
        <is>
          <t>售卖份量/g</t>
        </is>
      </c>
      <c r="F311" s="125">
        <f>SUM(J309:J310)</f>
        <v/>
      </c>
      <c r="G311" s="93" t="inlineStr">
        <is>
          <t>总成本（元）</t>
        </is>
      </c>
      <c r="H311" s="176">
        <f>SUM(K309:K310)</f>
        <v/>
      </c>
      <c r="I311" s="127" t="inlineStr">
        <is>
          <t>毛利/元</t>
        </is>
      </c>
      <c r="J311" s="127">
        <f>D311-H311</f>
        <v/>
      </c>
      <c r="K311" s="127" t="inlineStr">
        <is>
          <t>毛利率</t>
        </is>
      </c>
      <c r="L311" s="145">
        <f>J311/D311</f>
        <v/>
      </c>
    </row>
    <row r="312" hidden="1" ht="15.6" customHeight="1" s="170">
      <c r="A312" s="91" t="inlineStr">
        <is>
          <t>豌豆尖</t>
        </is>
      </c>
      <c r="B312" s="94" t="inlineStr">
        <is>
          <t>豌豆尖</t>
        </is>
      </c>
      <c r="C312" s="92">
        <f>VLOOKUP(B312,原材料价格表!$B$2:$J$242,9,)</f>
        <v/>
      </c>
      <c r="D312" s="92">
        <f>VLOOKUP(B312,原材料价格表!$B$2:$G$436,2,0)</f>
        <v/>
      </c>
      <c r="E312" s="92">
        <f>VLOOKUP(B312,原材料价格表!$B$2:$G$436,3,0)</f>
        <v/>
      </c>
      <c r="F312" s="122">
        <f>VLOOKUP(B312,原材料价格表!$B$2:$G$436,6,0)</f>
        <v/>
      </c>
      <c r="G312" s="92">
        <f>VLOOKUP(B312,原材料价格表!$B$2:$G$436,5,0)</f>
        <v/>
      </c>
      <c r="H312" s="123" t="n">
        <v>0.7</v>
      </c>
      <c r="I312" s="124">
        <f>F312/G312/H312</f>
        <v/>
      </c>
      <c r="J312" s="92" t="n">
        <v>120</v>
      </c>
      <c r="K312" s="124">
        <f>I312*J312</f>
        <v/>
      </c>
      <c r="L312" s="92" t="n"/>
    </row>
    <row r="313" hidden="1" ht="18" customHeight="1" s="170">
      <c r="A313" s="174" t="n"/>
      <c r="B313" s="95" t="inlineStr">
        <is>
          <t>售价</t>
        </is>
      </c>
      <c r="C313" s="92" t="n"/>
      <c r="D313" s="175" t="n">
        <v>12</v>
      </c>
      <c r="E313" s="95" t="inlineStr">
        <is>
          <t>售卖份量/g</t>
        </is>
      </c>
      <c r="F313" s="125">
        <f>SUM(J312:J312)</f>
        <v/>
      </c>
      <c r="G313" s="93" t="inlineStr">
        <is>
          <t>总成本（元）</t>
        </is>
      </c>
      <c r="H313" s="176">
        <f>SUM(K312:K312)</f>
        <v/>
      </c>
      <c r="I313" s="127" t="inlineStr">
        <is>
          <t>毛利/元</t>
        </is>
      </c>
      <c r="J313" s="127">
        <f>D313-H313</f>
        <v/>
      </c>
      <c r="K313" s="127" t="inlineStr">
        <is>
          <t>毛利率</t>
        </is>
      </c>
      <c r="L313" s="145">
        <f>J313/D313</f>
        <v/>
      </c>
    </row>
    <row r="314" hidden="1" ht="15.6" customHeight="1" s="170">
      <c r="A314" s="91" t="inlineStr">
        <is>
          <t>薄荷</t>
        </is>
      </c>
      <c r="B314" s="94" t="inlineStr">
        <is>
          <t>薄荷</t>
        </is>
      </c>
      <c r="C314" s="92">
        <f>VLOOKUP(B314,原材料价格表!$B$2:$J$242,9,)</f>
        <v/>
      </c>
      <c r="D314" s="92">
        <f>VLOOKUP(B314,原材料价格表!$B$2:$G$436,2,0)</f>
        <v/>
      </c>
      <c r="E314" s="92">
        <f>VLOOKUP(B314,原材料价格表!$B$2:$G$436,3,0)</f>
        <v/>
      </c>
      <c r="F314" s="122">
        <f>VLOOKUP(B314,原材料价格表!$B$2:$G$436,6,0)</f>
        <v/>
      </c>
      <c r="G314" s="92">
        <f>VLOOKUP(B314,原材料价格表!$B$2:$G$436,5,0)</f>
        <v/>
      </c>
      <c r="H314" s="123" t="n">
        <v>0.85</v>
      </c>
      <c r="I314" s="124">
        <f>F314/G314/H314</f>
        <v/>
      </c>
      <c r="J314" s="92" t="n">
        <v>80</v>
      </c>
      <c r="K314" s="124">
        <f>I314*J314</f>
        <v/>
      </c>
      <c r="L314" s="92" t="n"/>
    </row>
    <row r="315" hidden="1" ht="18" customHeight="1" s="170">
      <c r="A315" s="174" t="n"/>
      <c r="B315" s="95" t="inlineStr">
        <is>
          <t>售价</t>
        </is>
      </c>
      <c r="C315" s="92" t="n"/>
      <c r="D315" s="175" t="n">
        <v>12</v>
      </c>
      <c r="E315" s="95" t="inlineStr">
        <is>
          <t>售卖份量/g</t>
        </is>
      </c>
      <c r="F315" s="125">
        <f>SUM(J314:J314)</f>
        <v/>
      </c>
      <c r="G315" s="93" t="inlineStr">
        <is>
          <t>总成本（元）</t>
        </is>
      </c>
      <c r="H315" s="176">
        <f>SUM(K314:K314)</f>
        <v/>
      </c>
      <c r="I315" s="127" t="inlineStr">
        <is>
          <t>毛利/元</t>
        </is>
      </c>
      <c r="J315" s="127">
        <f>D315-H315</f>
        <v/>
      </c>
      <c r="K315" s="127" t="inlineStr">
        <is>
          <t>毛利率</t>
        </is>
      </c>
      <c r="L315" s="145">
        <f>J315/D315</f>
        <v/>
      </c>
    </row>
    <row r="316" hidden="1" ht="15.6" customHeight="1" s="170">
      <c r="A316" s="91" t="inlineStr">
        <is>
          <t>贵阳非遗脆三丁</t>
        </is>
      </c>
      <c r="B316" s="94" t="inlineStr">
        <is>
          <t>脆三丁</t>
        </is>
      </c>
      <c r="C316" s="92">
        <f>VLOOKUP(B316,原材料价格表!$B$2:$J$242,9,)</f>
        <v/>
      </c>
      <c r="D316" s="92">
        <f>VLOOKUP(B316,原材料价格表!$B$2:$G$436,2,0)</f>
        <v/>
      </c>
      <c r="E316" s="92">
        <f>VLOOKUP(B316,原材料价格表!$B$2:$G$436,3,0)</f>
        <v/>
      </c>
      <c r="F316" s="122">
        <f>VLOOKUP(B316,原材料价格表!$B$2:$G$436,6,0)</f>
        <v/>
      </c>
      <c r="G316" s="92">
        <f>VLOOKUP(B316,原材料价格表!$B$2:$G$436,5,0)</f>
        <v/>
      </c>
      <c r="H316" s="123" t="n">
        <v>1</v>
      </c>
      <c r="I316" s="124">
        <f>F316/G316/H316</f>
        <v/>
      </c>
      <c r="J316" s="92" t="n">
        <v>100</v>
      </c>
      <c r="K316" s="124">
        <f>I316*J316</f>
        <v/>
      </c>
      <c r="L316" s="92" t="n"/>
    </row>
    <row r="317" hidden="1" ht="18" customHeight="1" s="170">
      <c r="A317" s="174" t="n"/>
      <c r="B317" s="95" t="inlineStr">
        <is>
          <t>售价</t>
        </is>
      </c>
      <c r="C317" s="92" t="n"/>
      <c r="D317" s="175" t="n">
        <v>18</v>
      </c>
      <c r="E317" s="95" t="inlineStr">
        <is>
          <t>售卖份量/g</t>
        </is>
      </c>
      <c r="F317" s="125">
        <f>SUM(J316:J316)</f>
        <v/>
      </c>
      <c r="G317" s="93" t="inlineStr">
        <is>
          <t>总成本（元）</t>
        </is>
      </c>
      <c r="H317" s="176">
        <f>SUM(K316:K316)</f>
        <v/>
      </c>
      <c r="I317" s="127" t="inlineStr">
        <is>
          <t>毛利/元</t>
        </is>
      </c>
      <c r="J317" s="127">
        <f>D317-H317</f>
        <v/>
      </c>
      <c r="K317" s="127" t="inlineStr">
        <is>
          <t>毛利率</t>
        </is>
      </c>
      <c r="L317" s="145">
        <f>J317/D317</f>
        <v/>
      </c>
    </row>
    <row r="318" hidden="1" ht="15.6" customHeight="1" s="170">
      <c r="A318" s="91" t="inlineStr">
        <is>
          <t>花生芽</t>
        </is>
      </c>
      <c r="B318" s="92" t="inlineStr">
        <is>
          <t>花生芽</t>
        </is>
      </c>
      <c r="C318" s="92">
        <f>VLOOKUP(B318,原材料价格表!$B$2:$J$242,9,)</f>
        <v/>
      </c>
      <c r="D318" s="92">
        <f>VLOOKUP(B318,原材料价格表!$B$2:$G$436,2,0)</f>
        <v/>
      </c>
      <c r="E318" s="92">
        <f>VLOOKUP(B318,原材料价格表!$B$2:$G$436,3,0)</f>
        <v/>
      </c>
      <c r="F318" s="122">
        <f>VLOOKUP(B318,原材料价格表!$B$2:$G$436,6,0)</f>
        <v/>
      </c>
      <c r="G318" s="92">
        <f>VLOOKUP(B318,原材料价格表!$B$2:$G$436,5,0)</f>
        <v/>
      </c>
      <c r="H318" s="123" t="n">
        <v>0.95</v>
      </c>
      <c r="I318" s="124">
        <f>F318/G318/H318</f>
        <v/>
      </c>
      <c r="J318" s="92" t="n">
        <v>150</v>
      </c>
      <c r="K318" s="124">
        <f>I318*J318</f>
        <v/>
      </c>
      <c r="L318" s="92" t="n"/>
    </row>
    <row r="319" hidden="1" ht="18" customHeight="1" s="170">
      <c r="A319" s="174" t="n"/>
      <c r="B319" s="95" t="inlineStr">
        <is>
          <t>售价</t>
        </is>
      </c>
      <c r="C319" s="92" t="n"/>
      <c r="D319" s="175" t="n">
        <v>12</v>
      </c>
      <c r="E319" s="95" t="inlineStr">
        <is>
          <t>售卖份量/g</t>
        </is>
      </c>
      <c r="F319" s="125">
        <f>SUM(J318:J318)</f>
        <v/>
      </c>
      <c r="G319" s="93" t="inlineStr">
        <is>
          <t>总成本（元）</t>
        </is>
      </c>
      <c r="H319" s="176">
        <f>SUM(K318:K318)</f>
        <v/>
      </c>
      <c r="I319" s="127" t="inlineStr">
        <is>
          <t>毛利/元</t>
        </is>
      </c>
      <c r="J319" s="127">
        <f>D319-H319</f>
        <v/>
      </c>
      <c r="K319" s="127" t="inlineStr">
        <is>
          <t>毛利率</t>
        </is>
      </c>
      <c r="L319" s="145">
        <f>J319/D319</f>
        <v/>
      </c>
    </row>
    <row r="320" hidden="1" ht="15.6" customHeight="1" s="170">
      <c r="A320" s="91" t="inlineStr">
        <is>
          <t>安格斯雪花牛</t>
        </is>
      </c>
      <c r="B320" s="94" t="inlineStr">
        <is>
          <t>美肥</t>
        </is>
      </c>
      <c r="C320" s="92">
        <f>VLOOKUP(B320,原材料价格表!$B$2:$J$242,9,)</f>
        <v/>
      </c>
      <c r="D320" s="92">
        <f>VLOOKUP(B320,原材料价格表!$B$2:$G$436,2,0)</f>
        <v/>
      </c>
      <c r="E320" s="92">
        <f>VLOOKUP(B320,原材料价格表!$B$2:$G$436,3,0)</f>
        <v/>
      </c>
      <c r="F320" s="122">
        <f>VLOOKUP(B320,原材料价格表!$B$2:$G$436,6,0)</f>
        <v/>
      </c>
      <c r="G320" s="92">
        <f>VLOOKUP(B320,原材料价格表!$B$2:$G$436,5,0)</f>
        <v/>
      </c>
      <c r="H320" s="123" t="n">
        <v>0.85</v>
      </c>
      <c r="I320" s="124">
        <f>F320/G320/H320</f>
        <v/>
      </c>
      <c r="J320" s="92" t="n">
        <v>120</v>
      </c>
      <c r="K320" s="124">
        <f>I320*J320</f>
        <v/>
      </c>
      <c r="L320" s="92" t="n"/>
    </row>
    <row r="321" hidden="1" ht="15.6" customHeight="1" s="170">
      <c r="A321" s="173" t="n"/>
      <c r="B321" s="94" t="inlineStr">
        <is>
          <t>粽叶</t>
        </is>
      </c>
      <c r="C321" s="92">
        <f>VLOOKUP(B321,原材料价格表!$B$2:$J$242,9,)</f>
        <v/>
      </c>
      <c r="D321" s="92">
        <f>VLOOKUP(B321,原材料价格表!$B$2:$G$436,2,0)</f>
        <v/>
      </c>
      <c r="E321" s="92">
        <f>VLOOKUP(B321,原材料价格表!$B$2:$G$436,3,0)</f>
        <v/>
      </c>
      <c r="F321" s="122">
        <f>VLOOKUP(B321,原材料价格表!$B$2:$G$436,6,0)</f>
        <v/>
      </c>
      <c r="G321" s="92">
        <f>VLOOKUP(B321,原材料价格表!$B$2:$G$436,5,0)</f>
        <v/>
      </c>
      <c r="H321" s="123" t="n">
        <v>1</v>
      </c>
      <c r="I321" s="124">
        <f>F321/G321/H321</f>
        <v/>
      </c>
      <c r="J321" s="92" t="n">
        <v>1</v>
      </c>
      <c r="K321" s="124">
        <f>I321*J321</f>
        <v/>
      </c>
      <c r="L321" s="92" t="n"/>
    </row>
    <row r="322" hidden="1" ht="18" customHeight="1" s="170">
      <c r="A322" s="174" t="n"/>
      <c r="B322" s="95" t="inlineStr">
        <is>
          <t>售价</t>
        </is>
      </c>
      <c r="C322" s="92" t="n"/>
      <c r="D322" s="175" t="n">
        <v>42</v>
      </c>
      <c r="E322" s="95" t="inlineStr">
        <is>
          <t>售卖份量/g</t>
        </is>
      </c>
      <c r="F322" s="125">
        <f>SUM(J320:J321)</f>
        <v/>
      </c>
      <c r="G322" s="93" t="inlineStr">
        <is>
          <t>总成本（元）</t>
        </is>
      </c>
      <c r="H322" s="176">
        <f>SUM(K320:K321)</f>
        <v/>
      </c>
      <c r="I322" s="127" t="inlineStr">
        <is>
          <t>毛利/元</t>
        </is>
      </c>
      <c r="J322" s="127">
        <f>D322-H322</f>
        <v/>
      </c>
      <c r="K322" s="127" t="inlineStr">
        <is>
          <t>毛利率</t>
        </is>
      </c>
      <c r="L322" s="145">
        <f>J322/D322</f>
        <v/>
      </c>
    </row>
    <row r="323" hidden="1" ht="15.6" customHeight="1" s="170">
      <c r="A323" s="91" t="inlineStr">
        <is>
          <t>龙须菜</t>
        </is>
      </c>
      <c r="B323" s="94" t="inlineStr">
        <is>
          <t>龙须菜</t>
        </is>
      </c>
      <c r="C323" s="92">
        <f>VLOOKUP(B323,原材料价格表!$B$2:$J$242,9,)</f>
        <v/>
      </c>
      <c r="D323" s="92">
        <f>VLOOKUP(B323,原材料价格表!$B$2:$G$436,2,0)</f>
        <v/>
      </c>
      <c r="E323" s="92" t="n">
        <v>0</v>
      </c>
      <c r="F323" s="122">
        <f>VLOOKUP(B323,原材料价格表!$B$2:$G$436,6,0)</f>
        <v/>
      </c>
      <c r="G323" s="92">
        <f>VLOOKUP(B323,原材料价格表!$B$2:$G$436,5,0)</f>
        <v/>
      </c>
      <c r="H323" s="123" t="n">
        <v>0.65</v>
      </c>
      <c r="I323" s="124">
        <f>F323/G323/H323</f>
        <v/>
      </c>
      <c r="J323" s="92" t="n">
        <v>150</v>
      </c>
      <c r="K323" s="124">
        <f>I323*J323</f>
        <v/>
      </c>
      <c r="L323" s="92" t="n"/>
    </row>
    <row r="324" hidden="1" ht="18" customHeight="1" s="170">
      <c r="A324" s="174" t="n"/>
      <c r="B324" s="95" t="inlineStr">
        <is>
          <t>售价</t>
        </is>
      </c>
      <c r="C324" s="92" t="n"/>
      <c r="D324" s="175" t="n">
        <v>16</v>
      </c>
      <c r="E324" s="95" t="inlineStr">
        <is>
          <t>售卖份量/g</t>
        </is>
      </c>
      <c r="F324" s="125">
        <f>SUM(J323:J323)</f>
        <v/>
      </c>
      <c r="G324" s="93" t="inlineStr">
        <is>
          <t>总成本（元）</t>
        </is>
      </c>
      <c r="H324" s="176">
        <f>SUM(K323:K323)</f>
        <v/>
      </c>
      <c r="I324" s="127" t="inlineStr">
        <is>
          <t>毛利/元</t>
        </is>
      </c>
      <c r="J324" s="127">
        <f>D324-H324</f>
        <v/>
      </c>
      <c r="K324" s="127" t="inlineStr">
        <is>
          <t>毛利率</t>
        </is>
      </c>
      <c r="L324" s="145">
        <f>J324/D324</f>
        <v/>
      </c>
    </row>
    <row r="325" hidden="1" ht="15.6" customHeight="1" s="170">
      <c r="A325" s="91" t="inlineStr">
        <is>
          <t>茼蒿</t>
        </is>
      </c>
      <c r="B325" s="94" t="inlineStr">
        <is>
          <t>茼蒿</t>
        </is>
      </c>
      <c r="C325" s="92">
        <f>VLOOKUP(B325,原材料价格表!$B$2:$J$242,9,)</f>
        <v/>
      </c>
      <c r="D325" s="92">
        <f>VLOOKUP(B325,原材料价格表!$B$2:$G$436,2,0)</f>
        <v/>
      </c>
      <c r="E325" s="92" t="n">
        <v>0</v>
      </c>
      <c r="F325" s="122">
        <f>VLOOKUP(B325,原材料价格表!$B$2:$G$436,6,0)</f>
        <v/>
      </c>
      <c r="G325" s="92">
        <f>VLOOKUP(B325,原材料价格表!$B$2:$G$436,5,0)</f>
        <v/>
      </c>
      <c r="H325" s="123" t="n">
        <v>0.6</v>
      </c>
      <c r="I325" s="124">
        <f>F325/G325/H325</f>
        <v/>
      </c>
      <c r="J325" s="92" t="n">
        <v>150</v>
      </c>
      <c r="K325" s="124">
        <f>I325*J325</f>
        <v/>
      </c>
      <c r="L325" s="92" t="n"/>
    </row>
    <row r="326" hidden="1" ht="18" customHeight="1" s="170">
      <c r="A326" s="174" t="n"/>
      <c r="B326" s="95" t="inlineStr">
        <is>
          <t>售价</t>
        </is>
      </c>
      <c r="C326" s="92" t="n"/>
      <c r="D326" s="175" t="n">
        <v>16</v>
      </c>
      <c r="E326" s="95" t="inlineStr">
        <is>
          <t>售卖份量/g</t>
        </is>
      </c>
      <c r="F326" s="125">
        <f>SUM(J325:J325)</f>
        <v/>
      </c>
      <c r="G326" s="93" t="inlineStr">
        <is>
          <t>总成本（元）</t>
        </is>
      </c>
      <c r="H326" s="176">
        <f>SUM(K325:K325)</f>
        <v/>
      </c>
      <c r="I326" s="127" t="inlineStr">
        <is>
          <t>毛利/元</t>
        </is>
      </c>
      <c r="J326" s="127">
        <f>D326-H326</f>
        <v/>
      </c>
      <c r="K326" s="127" t="inlineStr">
        <is>
          <t>毛利率</t>
        </is>
      </c>
      <c r="L326" s="145">
        <f>J326/D326</f>
        <v/>
      </c>
    </row>
    <row r="327" hidden="1" ht="15.6" customHeight="1" s="170">
      <c r="A327" s="91" t="inlineStr">
        <is>
          <t>人参苗</t>
        </is>
      </c>
      <c r="B327" s="94" t="inlineStr">
        <is>
          <t>人参苗</t>
        </is>
      </c>
      <c r="C327" s="92">
        <f>VLOOKUP(B327,原材料价格表!$B$2:$J$242,9,)</f>
        <v/>
      </c>
      <c r="D327" s="92">
        <f>VLOOKUP(B327,原材料价格表!$B$2:$G$436,2,0)</f>
        <v/>
      </c>
      <c r="E327" s="92" t="n">
        <v>0</v>
      </c>
      <c r="F327" s="122">
        <f>VLOOKUP(B327,原材料价格表!$B$2:$G$436,6,0)</f>
        <v/>
      </c>
      <c r="G327" s="92">
        <f>VLOOKUP(B327,原材料价格表!$B$2:$G$436,5,0)</f>
        <v/>
      </c>
      <c r="H327" s="123" t="n">
        <v>0.85</v>
      </c>
      <c r="I327" s="124">
        <f>F327/G327/H327</f>
        <v/>
      </c>
      <c r="J327" s="92" t="n">
        <v>150</v>
      </c>
      <c r="K327" s="124">
        <f>I327*J327</f>
        <v/>
      </c>
      <c r="L327" s="92" t="n"/>
    </row>
    <row r="328" hidden="1" ht="18" customHeight="1" s="170">
      <c r="A328" s="174" t="n"/>
      <c r="B328" s="95" t="inlineStr">
        <is>
          <t>售价</t>
        </is>
      </c>
      <c r="C328" s="92" t="n"/>
      <c r="D328" s="175" t="n">
        <v>16</v>
      </c>
      <c r="E328" s="95" t="inlineStr">
        <is>
          <t>售卖份量/g</t>
        </is>
      </c>
      <c r="F328" s="125">
        <f>SUM(J327:J327)</f>
        <v/>
      </c>
      <c r="G328" s="93" t="inlineStr">
        <is>
          <t>总成本（元）</t>
        </is>
      </c>
      <c r="H328" s="176">
        <f>SUM(K327:K327)</f>
        <v/>
      </c>
      <c r="I328" s="127" t="inlineStr">
        <is>
          <t>毛利/元</t>
        </is>
      </c>
      <c r="J328" s="127">
        <f>D328-H328</f>
        <v/>
      </c>
      <c r="K328" s="127" t="inlineStr">
        <is>
          <t>毛利率</t>
        </is>
      </c>
      <c r="L328" s="145">
        <f>J328/D328</f>
        <v/>
      </c>
    </row>
    <row r="329" hidden="1" ht="15.6" customFormat="1" customHeight="1" s="149">
      <c r="A329" s="91" t="inlineStr">
        <is>
          <t>野篮子蔬菜组合</t>
        </is>
      </c>
      <c r="B329" s="94" t="inlineStr">
        <is>
          <t>紫白菜</t>
        </is>
      </c>
      <c r="C329" s="92">
        <f>VLOOKUP(B329,原材料价格表!$B$2:$J$242,9,)</f>
        <v/>
      </c>
      <c r="D329" s="92">
        <f>VLOOKUP(B329,原材料价格表!$B$2:$G$436,2,0)</f>
        <v/>
      </c>
      <c r="E329" s="92">
        <f>VLOOKUP(B329,原材料价格表!$B$2:$G$436,3,0)</f>
        <v/>
      </c>
      <c r="F329" s="122">
        <f>VLOOKUP(B329,原材料价格表!$B$2:$G$436,6,0)</f>
        <v/>
      </c>
      <c r="G329" s="92">
        <f>VLOOKUP(B329,原材料价格表!$B$2:$G$436,5,0)</f>
        <v/>
      </c>
      <c r="H329" s="123" t="n">
        <v>0.66</v>
      </c>
      <c r="I329" s="124">
        <f>F329/G329/H329</f>
        <v/>
      </c>
      <c r="J329" s="92" t="n">
        <v>100</v>
      </c>
      <c r="K329" s="124">
        <f>I329*J329</f>
        <v/>
      </c>
      <c r="L329" s="92" t="n"/>
    </row>
    <row r="330" hidden="1" ht="15.6" customFormat="1" customHeight="1" s="149">
      <c r="A330" s="173" t="n"/>
      <c r="B330" s="94" t="inlineStr">
        <is>
          <t>龙须菜</t>
        </is>
      </c>
      <c r="C330" s="92">
        <f>VLOOKUP(B330,原材料价格表!$B$2:$J$242,9,)</f>
        <v/>
      </c>
      <c r="D330" s="92">
        <f>VLOOKUP(B330,原材料价格表!$B$2:$G$436,2,0)</f>
        <v/>
      </c>
      <c r="E330" s="92">
        <f>VLOOKUP(B330,原材料价格表!$B$2:$G$436,3,0)</f>
        <v/>
      </c>
      <c r="F330" s="122">
        <f>VLOOKUP(B330,原材料价格表!$B$2:$G$436,6,0)</f>
        <v/>
      </c>
      <c r="G330" s="92">
        <f>VLOOKUP(B330,原材料价格表!$B$2:$G$436,5,0)</f>
        <v/>
      </c>
      <c r="H330" s="123" t="n">
        <v>0.65</v>
      </c>
      <c r="I330" s="124">
        <f>F330/G330/H330</f>
        <v/>
      </c>
      <c r="J330" s="92" t="n">
        <v>100</v>
      </c>
      <c r="K330" s="124">
        <f>I330*J330</f>
        <v/>
      </c>
      <c r="L330" s="92" t="n"/>
    </row>
    <row r="331" hidden="1" ht="15.6" customFormat="1" customHeight="1" s="149">
      <c r="A331" s="173" t="n"/>
      <c r="B331" s="94" t="inlineStr">
        <is>
          <t>茼蒿</t>
        </is>
      </c>
      <c r="C331" s="92">
        <f>VLOOKUP(B331,原材料价格表!$B$2:$J$242,9,)</f>
        <v/>
      </c>
      <c r="D331" s="92">
        <f>VLOOKUP(B331,原材料价格表!$B$2:$G$436,2,0)</f>
        <v/>
      </c>
      <c r="E331" s="92">
        <f>VLOOKUP(B331,原材料价格表!$B$2:$G$436,3,0)</f>
        <v/>
      </c>
      <c r="F331" s="122">
        <f>VLOOKUP(B331,原材料价格表!$B$2:$G$436,6,0)</f>
        <v/>
      </c>
      <c r="G331" s="92">
        <f>VLOOKUP(B331,原材料价格表!$B$2:$G$436,5,0)</f>
        <v/>
      </c>
      <c r="H331" s="123" t="n">
        <v>0.6</v>
      </c>
      <c r="I331" s="124">
        <f>F331/G331/H331</f>
        <v/>
      </c>
      <c r="J331" s="92" t="n">
        <v>100</v>
      </c>
      <c r="K331" s="124">
        <f>I331*J331</f>
        <v/>
      </c>
      <c r="L331" s="92" t="n"/>
    </row>
    <row r="332" hidden="1" ht="15.6" customFormat="1" customHeight="1" s="149">
      <c r="A332" s="173" t="n"/>
      <c r="B332" s="94" t="inlineStr">
        <is>
          <t>人参苗</t>
        </is>
      </c>
      <c r="C332" s="92">
        <f>VLOOKUP(B332,原材料价格表!$B$2:$J$242,9,)</f>
        <v/>
      </c>
      <c r="D332" s="92">
        <f>VLOOKUP(B332,原材料价格表!$B$2:$G$436,2,0)</f>
        <v/>
      </c>
      <c r="E332" s="92">
        <f>VLOOKUP(B332,原材料价格表!$B$2:$G$436,3,0)</f>
        <v/>
      </c>
      <c r="F332" s="122">
        <f>VLOOKUP(B332,原材料价格表!$B$2:$G$436,6,0)</f>
        <v/>
      </c>
      <c r="G332" s="92">
        <f>VLOOKUP(B332,原材料价格表!$B$2:$G$436,5,0)</f>
        <v/>
      </c>
      <c r="H332" s="123" t="n">
        <v>0.85</v>
      </c>
      <c r="I332" s="124">
        <f>F332/G332/H332</f>
        <v/>
      </c>
      <c r="J332" s="92" t="n">
        <v>50</v>
      </c>
      <c r="K332" s="124">
        <f>I332*J332</f>
        <v/>
      </c>
      <c r="L332" s="92" t="n"/>
    </row>
    <row r="333" hidden="1" ht="15.6" customFormat="1" customHeight="1" s="149">
      <c r="A333" s="173" t="n"/>
      <c r="B333" s="94" t="inlineStr">
        <is>
          <t>薄荷</t>
        </is>
      </c>
      <c r="C333" s="92">
        <f>VLOOKUP(B333,原材料价格表!$B$2:$J$242,9,)</f>
        <v/>
      </c>
      <c r="D333" s="92">
        <f>VLOOKUP(B333,原材料价格表!$B$2:$G$436,2,0)</f>
        <v/>
      </c>
      <c r="E333" s="92">
        <f>VLOOKUP(B333,原材料价格表!$B$2:$G$436,3,0)</f>
        <v/>
      </c>
      <c r="F333" s="122">
        <f>VLOOKUP(B333,原材料价格表!$B$2:$G$436,6,0)</f>
        <v/>
      </c>
      <c r="G333" s="92">
        <f>VLOOKUP(B333,原材料价格表!$B$2:$G$436,5,0)</f>
        <v/>
      </c>
      <c r="H333" s="123" t="n">
        <v>0.9</v>
      </c>
      <c r="I333" s="124">
        <f>F333/G333/H333</f>
        <v/>
      </c>
      <c r="J333" s="92" t="n">
        <v>30</v>
      </c>
      <c r="K333" s="124">
        <f>I333*J333</f>
        <v/>
      </c>
      <c r="L333" s="92" t="n"/>
    </row>
    <row r="334" hidden="1" ht="15.6" customFormat="1" customHeight="1" s="149">
      <c r="A334" s="173" t="n"/>
      <c r="B334" s="94" t="inlineStr">
        <is>
          <t>血皮菜</t>
        </is>
      </c>
      <c r="C334" s="92">
        <f>VLOOKUP(B334,原材料价格表!$B$2:$J$242,9,)</f>
        <v/>
      </c>
      <c r="D334" s="92">
        <f>VLOOKUP(B334,原材料价格表!$B$2:$G$436,2,0)</f>
        <v/>
      </c>
      <c r="E334" s="92">
        <f>VLOOKUP(B334,原材料价格表!$B$2:$G$436,3,0)</f>
        <v/>
      </c>
      <c r="F334" s="122">
        <f>VLOOKUP(B334,原材料价格表!$B$2:$G$436,6,0)</f>
        <v/>
      </c>
      <c r="G334" s="92">
        <f>VLOOKUP(B334,原材料价格表!$B$2:$G$436,5,0)</f>
        <v/>
      </c>
      <c r="H334" s="123" t="n">
        <v>0.65</v>
      </c>
      <c r="I334" s="124">
        <f>F334/G334/H334</f>
        <v/>
      </c>
      <c r="J334" s="92" t="n">
        <v>50</v>
      </c>
      <c r="K334" s="124">
        <f>I334*J334</f>
        <v/>
      </c>
      <c r="L334" s="92" t="n"/>
    </row>
    <row r="335" hidden="1" ht="18" customFormat="1" customHeight="1" s="149">
      <c r="A335" s="174" t="n"/>
      <c r="B335" s="95" t="inlineStr">
        <is>
          <t>售价</t>
        </is>
      </c>
      <c r="C335" s="92" t="n"/>
      <c r="D335" s="175" t="n">
        <v>38</v>
      </c>
      <c r="E335" s="95" t="inlineStr">
        <is>
          <t>售卖份量/g</t>
        </is>
      </c>
      <c r="F335" s="125" t="n">
        <v>9250</v>
      </c>
      <c r="G335" s="93" t="inlineStr">
        <is>
          <t>总成本（元）</t>
        </is>
      </c>
      <c r="H335" s="176">
        <f>SUM(K329:K334)</f>
        <v/>
      </c>
      <c r="I335" s="127" t="inlineStr">
        <is>
          <t>毛利/元</t>
        </is>
      </c>
      <c r="J335" s="127">
        <f>D335-H335</f>
        <v/>
      </c>
      <c r="K335" s="127" t="inlineStr">
        <is>
          <t>毛利率</t>
        </is>
      </c>
      <c r="L335" s="145">
        <f>J335/D335</f>
        <v/>
      </c>
    </row>
    <row r="336" hidden="1" ht="15.6" customFormat="1" customHeight="1" s="149">
      <c r="A336" s="91" t="inlineStr">
        <is>
          <t>息烽阳朗辣子鸡</t>
        </is>
      </c>
      <c r="B336" s="94" t="inlineStr">
        <is>
          <t>三黄鸡</t>
        </is>
      </c>
      <c r="C336" s="92">
        <f>VLOOKUP(B336,原材料价格表!$B$2:$J$242,9,)</f>
        <v/>
      </c>
      <c r="D336" s="92">
        <f>VLOOKUP(B336,原材料价格表!$B$2:$G$436,2,0)</f>
        <v/>
      </c>
      <c r="E336" s="92">
        <f>VLOOKUP(B336,原材料价格表!$B$2:$G$436,3,0)</f>
        <v/>
      </c>
      <c r="F336" s="122">
        <f>VLOOKUP(B336,原材料价格表!$B$2:$G$436,6,0)</f>
        <v/>
      </c>
      <c r="G336" s="92">
        <f>VLOOKUP(B336,原材料价格表!$B$2:$G$436,5,0)</f>
        <v/>
      </c>
      <c r="H336" s="123" t="n">
        <v>0.95</v>
      </c>
      <c r="I336" s="124">
        <f>F336/G336/H336</f>
        <v/>
      </c>
      <c r="J336" s="92" t="n">
        <v>386</v>
      </c>
      <c r="K336" s="124">
        <f>I336*J336</f>
        <v/>
      </c>
      <c r="L336" s="92" t="n"/>
    </row>
    <row r="337" hidden="1" ht="15.6" customFormat="1" customHeight="1" s="149">
      <c r="A337" s="173" t="n"/>
      <c r="B337" s="94" t="inlineStr">
        <is>
          <t>菜籽油</t>
        </is>
      </c>
      <c r="C337" s="92">
        <f>VLOOKUP(B337,原材料价格表!$B$2:$J$242,9,)</f>
        <v/>
      </c>
      <c r="D337" s="92">
        <f>VLOOKUP(B337,原材料价格表!$B$2:$G$436,2,0)</f>
        <v/>
      </c>
      <c r="E337" s="92">
        <f>VLOOKUP(B337,原材料价格表!$B$2:$G$436,3,0)</f>
        <v/>
      </c>
      <c r="F337" s="122">
        <f>VLOOKUP(B337,原材料价格表!$B$2:$G$436,6,0)</f>
        <v/>
      </c>
      <c r="G337" s="92">
        <f>VLOOKUP(B337,原材料价格表!$B$2:$G$436,5,0)</f>
        <v/>
      </c>
      <c r="H337" s="123" t="n">
        <v>0.9</v>
      </c>
      <c r="I337" s="124">
        <f>F337/G337/H337</f>
        <v/>
      </c>
      <c r="J337" s="92" t="n">
        <v>171</v>
      </c>
      <c r="K337" s="124">
        <f>I337*J337</f>
        <v/>
      </c>
      <c r="L337" s="92" t="n"/>
    </row>
    <row r="338" hidden="1" ht="15.6" customFormat="1" customHeight="1" s="149">
      <c r="A338" s="173" t="n"/>
      <c r="B338" s="94" t="inlineStr">
        <is>
          <t>姜</t>
        </is>
      </c>
      <c r="C338" s="92">
        <f>VLOOKUP(B338,原材料价格表!$B$2:$J$242,9,)</f>
        <v/>
      </c>
      <c r="D338" s="92">
        <f>VLOOKUP(B338,原材料价格表!$B$2:$G$436,2,0)</f>
        <v/>
      </c>
      <c r="E338" s="92">
        <f>VLOOKUP(B338,原材料价格表!$B$2:$G$436,3,0)</f>
        <v/>
      </c>
      <c r="F338" s="122">
        <f>VLOOKUP(B338,原材料价格表!$B$2:$G$436,6,0)</f>
        <v/>
      </c>
      <c r="G338" s="92">
        <f>VLOOKUP(B338,原材料价格表!$B$2:$G$436,5,0)</f>
        <v/>
      </c>
      <c r="H338" s="123" t="n">
        <v>0.9</v>
      </c>
      <c r="I338" s="124">
        <f>F338/G338/H338</f>
        <v/>
      </c>
      <c r="J338" s="92" t="n">
        <v>8.6</v>
      </c>
      <c r="K338" s="124">
        <f>I338*J338</f>
        <v/>
      </c>
      <c r="L338" s="92" t="n"/>
    </row>
    <row r="339" hidden="1" ht="15.6" customFormat="1" customHeight="1" s="149">
      <c r="A339" s="173" t="n"/>
      <c r="B339" s="94" t="inlineStr">
        <is>
          <t>大蒜</t>
        </is>
      </c>
      <c r="C339" s="92">
        <f>VLOOKUP(B339,原材料价格表!$B$2:$J$242,9,)</f>
        <v/>
      </c>
      <c r="D339" s="92">
        <f>VLOOKUP(B339,原材料价格表!$B$2:$G$436,2,0)</f>
        <v/>
      </c>
      <c r="E339" s="92">
        <f>VLOOKUP(B339,原材料价格表!$B$2:$G$436,3,0)</f>
        <v/>
      </c>
      <c r="F339" s="122">
        <f>VLOOKUP(B339,原材料价格表!$B$2:$G$436,6,0)</f>
        <v/>
      </c>
      <c r="G339" s="92">
        <f>VLOOKUP(B339,原材料价格表!$B$2:$G$436,5,0)</f>
        <v/>
      </c>
      <c r="H339" s="123" t="n">
        <v>1</v>
      </c>
      <c r="I339" s="124">
        <f>F339/G339/H339</f>
        <v/>
      </c>
      <c r="J339" s="92" t="n">
        <v>100</v>
      </c>
      <c r="K339" s="124">
        <f>I339*J339</f>
        <v/>
      </c>
      <c r="L339" s="92" t="n"/>
    </row>
    <row r="340" hidden="1" ht="15.6" customFormat="1" customHeight="1" s="149">
      <c r="A340" s="173" t="n"/>
      <c r="B340" s="94" t="inlineStr">
        <is>
          <t>干花椒</t>
        </is>
      </c>
      <c r="C340" s="92">
        <f>VLOOKUP(B340,原材料价格表!$B$2:$J$242,9,)</f>
        <v/>
      </c>
      <c r="D340" s="92">
        <f>VLOOKUP(B340,原材料价格表!$B$2:$G$436,2,0)</f>
        <v/>
      </c>
      <c r="E340" s="92">
        <f>VLOOKUP(B340,原材料价格表!$B$2:$G$436,3,0)</f>
        <v/>
      </c>
      <c r="F340" s="122">
        <f>VLOOKUP(B340,原材料价格表!$B$2:$G$436,6,0)</f>
        <v/>
      </c>
      <c r="G340" s="92">
        <f>VLOOKUP(B340,原材料价格表!$B$2:$G$436,5,0)</f>
        <v/>
      </c>
      <c r="H340" s="123" t="n">
        <v>0.9</v>
      </c>
      <c r="I340" s="124">
        <f>F340/G340/H340</f>
        <v/>
      </c>
      <c r="J340" s="92" t="n">
        <v>10</v>
      </c>
      <c r="K340" s="124">
        <f>I340*J340</f>
        <v/>
      </c>
      <c r="L340" s="92" t="n"/>
    </row>
    <row r="341" hidden="1" ht="17.6" customFormat="1" customHeight="1" s="149">
      <c r="A341" s="173" t="n"/>
      <c r="B341" s="94" t="inlineStr">
        <is>
          <t>糍粑辣椒</t>
        </is>
      </c>
      <c r="C341" s="92">
        <f>VLOOKUP(B341,原材料价格表!$B$2:$J$242,9,)</f>
        <v/>
      </c>
      <c r="D341" s="92">
        <f>VLOOKUP(B341,原材料价格表!$B$2:$G$436,2,0)</f>
        <v/>
      </c>
      <c r="E341" s="92">
        <f>VLOOKUP(B341,原材料价格表!$B$2:$G$436,3,0)</f>
        <v/>
      </c>
      <c r="F341" s="122" t="n">
        <v>20</v>
      </c>
      <c r="G341" s="92">
        <f>VLOOKUP(B341,原材料价格表!$B$2:$G$436,5,0)</f>
        <v/>
      </c>
      <c r="H341" s="123" t="n">
        <v>1</v>
      </c>
      <c r="I341" s="124">
        <f>F341/G341/H341</f>
        <v/>
      </c>
      <c r="J341" s="92" t="n">
        <v>143</v>
      </c>
      <c r="K341" s="124">
        <f>I341*J341</f>
        <v/>
      </c>
      <c r="L341" s="145" t="n"/>
    </row>
    <row r="342" hidden="1" ht="17.6" customFormat="1" customHeight="1" s="149">
      <c r="A342" s="173" t="n"/>
      <c r="B342" s="94" t="inlineStr">
        <is>
          <t>郫县豆瓣</t>
        </is>
      </c>
      <c r="C342" s="92">
        <f>VLOOKUP(B342,原材料价格表!$B$2:$J$242,9,)</f>
        <v/>
      </c>
      <c r="D342" s="92">
        <f>VLOOKUP(B342,原材料价格表!$B$2:$G$436,2,0)</f>
        <v/>
      </c>
      <c r="E342" s="92">
        <f>VLOOKUP(B342,原材料价格表!$B$2:$G$436,3,0)</f>
        <v/>
      </c>
      <c r="F342" s="122">
        <f>VLOOKUP(B342,原材料价格表!$B$2:$G$436,6,0)</f>
        <v/>
      </c>
      <c r="G342" s="92">
        <f>VLOOKUP(B342,原材料价格表!$B$2:$G$436,5,0)</f>
        <v/>
      </c>
      <c r="H342" s="123" t="n">
        <v>1</v>
      </c>
      <c r="I342" s="124">
        <f>F342/G342/H342</f>
        <v/>
      </c>
      <c r="J342" s="92" t="n">
        <v>3.6</v>
      </c>
      <c r="K342" s="124">
        <f>I342*J342</f>
        <v/>
      </c>
      <c r="L342" s="145" t="n"/>
    </row>
    <row r="343" hidden="1" ht="17.6" customFormat="1" customHeight="1" s="149">
      <c r="A343" s="173" t="n"/>
      <c r="B343" s="94" t="inlineStr">
        <is>
          <t>啤酒</t>
        </is>
      </c>
      <c r="C343" s="92">
        <f>VLOOKUP(B343,原材料价格表!$B$2:$J$242,9,)</f>
        <v/>
      </c>
      <c r="D343" s="92">
        <f>VLOOKUP(B343,原材料价格表!$B$2:$G$436,2,0)</f>
        <v/>
      </c>
      <c r="E343" s="92">
        <f>VLOOKUP(B343,原材料价格表!$B$2:$G$436,3,0)</f>
        <v/>
      </c>
      <c r="F343" s="122">
        <f>VLOOKUP(B343,原材料价格表!$B$2:$G$436,6,0)</f>
        <v/>
      </c>
      <c r="G343" s="92">
        <f>VLOOKUP(B343,原材料价格表!$B$2:$G$436,5,0)</f>
        <v/>
      </c>
      <c r="H343" s="123" t="n">
        <v>1</v>
      </c>
      <c r="I343" s="124">
        <f>F343/G343/H343</f>
        <v/>
      </c>
      <c r="J343" s="92" t="n">
        <v>43</v>
      </c>
      <c r="K343" s="124">
        <f>I343*J343</f>
        <v/>
      </c>
      <c r="L343" s="145" t="n"/>
    </row>
    <row r="344" hidden="1" ht="17.6" customFormat="1" customHeight="1" s="149">
      <c r="A344" s="173" t="n"/>
      <c r="B344" s="94" t="inlineStr">
        <is>
          <t>生抽</t>
        </is>
      </c>
      <c r="C344" s="92">
        <f>VLOOKUP(B344,原材料价格表!$B$2:$J$242,9,)</f>
        <v/>
      </c>
      <c r="D344" s="92">
        <f>VLOOKUP(B344,原材料价格表!$B$2:$G$436,2,0)</f>
        <v/>
      </c>
      <c r="E344" s="92">
        <f>VLOOKUP(B344,原材料价格表!$B$2:$G$436,3,0)</f>
        <v/>
      </c>
      <c r="F344" s="122">
        <f>VLOOKUP(B344,原材料价格表!$B$2:$G$436,6,0)</f>
        <v/>
      </c>
      <c r="G344" s="92">
        <f>VLOOKUP(B344,原材料价格表!$B$2:$G$436,5,0)</f>
        <v/>
      </c>
      <c r="H344" s="123" t="n">
        <v>1</v>
      </c>
      <c r="I344" s="124">
        <f>F344/G344/H344</f>
        <v/>
      </c>
      <c r="J344" s="92" t="n">
        <v>2.1</v>
      </c>
      <c r="K344" s="124">
        <f>I344*J344</f>
        <v/>
      </c>
      <c r="L344" s="145" t="n"/>
    </row>
    <row r="345" hidden="1" ht="17.6" customFormat="1" customHeight="1" s="149">
      <c r="A345" s="173" t="n"/>
      <c r="B345" s="92" t="inlineStr">
        <is>
          <t>味精</t>
        </is>
      </c>
      <c r="C345" s="92">
        <f>VLOOKUP(B345,原材料价格表!$B$2:$J$242,9,)</f>
        <v/>
      </c>
      <c r="D345" s="92">
        <f>VLOOKUP(B345,原材料价格表!$B$2:$G$436,2,0)</f>
        <v/>
      </c>
      <c r="E345" s="92">
        <f>VLOOKUP(B345,原材料价格表!$B$2:$G$436,3,0)</f>
        <v/>
      </c>
      <c r="F345" s="122">
        <f>VLOOKUP(B345,原材料价格表!$B$2:$G$436,6,0)</f>
        <v/>
      </c>
      <c r="G345" s="92">
        <f>VLOOKUP(B345,原材料价格表!$B$2:$G$436,5,0)</f>
        <v/>
      </c>
      <c r="H345" s="123" t="n">
        <v>1</v>
      </c>
      <c r="I345" s="124">
        <f>F345/G345/H345</f>
        <v/>
      </c>
      <c r="J345" s="92" t="n">
        <v>1.4</v>
      </c>
      <c r="K345" s="124">
        <f>I345*J345</f>
        <v/>
      </c>
      <c r="L345" s="145" t="n"/>
    </row>
    <row r="346" hidden="1" ht="17.6" customFormat="1" customHeight="1" s="149">
      <c r="A346" s="173" t="n"/>
      <c r="B346" s="94" t="inlineStr">
        <is>
          <t>鸡精</t>
        </is>
      </c>
      <c r="C346" s="92">
        <f>VLOOKUP(B346,原材料价格表!$B$2:$J$242,9,)</f>
        <v/>
      </c>
      <c r="D346" s="92">
        <f>VLOOKUP(B346,原材料价格表!$B$2:$G$436,2,0)</f>
        <v/>
      </c>
      <c r="E346" s="92">
        <f>VLOOKUP(B346,原材料价格表!$B$2:$G$436,3,0)</f>
        <v/>
      </c>
      <c r="F346" s="122">
        <f>VLOOKUP(B346,原材料价格表!$B$2:$G$436,6,0)</f>
        <v/>
      </c>
      <c r="G346" s="92">
        <f>VLOOKUP(B346,原材料价格表!$B$2:$G$436,5,0)</f>
        <v/>
      </c>
      <c r="H346" s="123" t="n">
        <v>1</v>
      </c>
      <c r="I346" s="124">
        <f>F346/G346/H346</f>
        <v/>
      </c>
      <c r="J346" s="92" t="n">
        <v>2.86</v>
      </c>
      <c r="K346" s="124">
        <f>I346*J346</f>
        <v/>
      </c>
      <c r="L346" s="145" t="n"/>
    </row>
    <row r="347" hidden="1" ht="17.6" customFormat="1" customHeight="1" s="149">
      <c r="A347" s="173" t="n"/>
      <c r="B347" s="94" t="inlineStr">
        <is>
          <t>白糖</t>
        </is>
      </c>
      <c r="C347" s="92">
        <f>VLOOKUP(B347,原材料价格表!$B$2:$J$242,9,)</f>
        <v/>
      </c>
      <c r="D347" s="92">
        <f>VLOOKUP(B347,原材料价格表!$B$2:$G$436,2,0)</f>
        <v/>
      </c>
      <c r="E347" s="92">
        <f>VLOOKUP(B347,原材料价格表!$B$2:$G$436,3,0)</f>
        <v/>
      </c>
      <c r="F347" s="122">
        <f>VLOOKUP(B347,原材料价格表!$B$2:$G$436,6,0)</f>
        <v/>
      </c>
      <c r="G347" s="92">
        <f>VLOOKUP(B347,原材料价格表!$B$2:$G$436,5,0)</f>
        <v/>
      </c>
      <c r="H347" s="123" t="n">
        <v>1</v>
      </c>
      <c r="I347" s="124">
        <f>F347/G347/H347</f>
        <v/>
      </c>
      <c r="J347" s="92" t="n">
        <v>0.7</v>
      </c>
      <c r="K347" s="124">
        <f>I347*J347</f>
        <v/>
      </c>
      <c r="L347" s="145" t="n"/>
    </row>
    <row r="348" hidden="1" ht="18" customFormat="1" customHeight="1" s="149">
      <c r="A348" s="174" t="n"/>
      <c r="B348" s="95" t="inlineStr">
        <is>
          <t>售价</t>
        </is>
      </c>
      <c r="C348" s="92" t="n"/>
      <c r="D348" s="175" t="n">
        <v>58</v>
      </c>
      <c r="E348" s="95" t="inlineStr">
        <is>
          <t>售卖份量/g</t>
        </is>
      </c>
      <c r="F348" s="125">
        <f>SUM(J336:J345)</f>
        <v/>
      </c>
      <c r="G348" s="93" t="inlineStr">
        <is>
          <t>总成本（元）</t>
        </is>
      </c>
      <c r="H348" s="176">
        <f>SUM(K336:K345)</f>
        <v/>
      </c>
      <c r="I348" s="127" t="inlineStr">
        <is>
          <t>毛利/元</t>
        </is>
      </c>
      <c r="J348" s="127">
        <f>D348-H348</f>
        <v/>
      </c>
      <c r="K348" s="127" t="inlineStr">
        <is>
          <t>毛利率</t>
        </is>
      </c>
      <c r="L348" s="145">
        <f>J348/D348</f>
        <v/>
      </c>
    </row>
    <row r="349" hidden="1" ht="15.6" customHeight="1" s="170">
      <c r="A349" s="91" t="inlineStr">
        <is>
          <t>灯捕鲈鱼</t>
        </is>
      </c>
      <c r="B349" s="94" t="inlineStr">
        <is>
          <t>鲈鱼</t>
        </is>
      </c>
      <c r="C349" s="92">
        <f>VLOOKUP(B349,原材料价格表!$B$2:$J$242,9,)</f>
        <v/>
      </c>
      <c r="D349" s="92">
        <f>VLOOKUP(B349,原材料价格表!$B$2:$G$436,2,0)</f>
        <v/>
      </c>
      <c r="E349" s="92">
        <f>VLOOKUP(B349,原材料价格表!$B$2:$G$436,3,0)</f>
        <v/>
      </c>
      <c r="F349" s="122">
        <f>VLOOKUP(B349,原材料价格表!$B$2:$G$436,6,0)</f>
        <v/>
      </c>
      <c r="G349" s="92">
        <f>VLOOKUP(B349,原材料价格表!$B$2:$G$436,5,0)</f>
        <v/>
      </c>
      <c r="H349" s="123" t="n">
        <v>1</v>
      </c>
      <c r="I349" s="124">
        <f>F349/G349/H349</f>
        <v/>
      </c>
      <c r="J349" s="92" t="n">
        <v>500</v>
      </c>
      <c r="K349" s="124">
        <f>I349*J349</f>
        <v/>
      </c>
      <c r="L349" s="92" t="n"/>
    </row>
    <row r="350" hidden="1" ht="15.6" customHeight="1" s="170">
      <c r="A350" s="173" t="n"/>
      <c r="B350" s="94" t="inlineStr">
        <is>
          <t>红枫叶</t>
        </is>
      </c>
      <c r="C350" s="92">
        <f>VLOOKUP(B350,原材料价格表!$B$2:$J$242,9,)</f>
        <v/>
      </c>
      <c r="D350" s="92">
        <f>VLOOKUP(B350,原材料价格表!$B$2:$G$436,2,0)</f>
        <v/>
      </c>
      <c r="E350" s="92">
        <f>VLOOKUP(B350,原材料价格表!$B$2:$G$436,3,0)</f>
        <v/>
      </c>
      <c r="F350" s="122">
        <f>VLOOKUP(B350,原材料价格表!$B$2:$G$436,6,0)</f>
        <v/>
      </c>
      <c r="G350" s="92">
        <f>VLOOKUP(B350,原材料价格表!$B$2:$G$436,5,0)</f>
        <v/>
      </c>
      <c r="H350" s="123" t="n">
        <v>1</v>
      </c>
      <c r="I350" s="124">
        <f>F350/G350/H350</f>
        <v/>
      </c>
      <c r="J350" s="92" t="n">
        <v>1</v>
      </c>
      <c r="K350" s="124">
        <f>I350*J350</f>
        <v/>
      </c>
      <c r="L350" s="92" t="n"/>
    </row>
    <row r="351" hidden="1" ht="15.6" customHeight="1" s="170">
      <c r="A351" s="173" t="n"/>
      <c r="B351" s="166" t="inlineStr">
        <is>
          <t>小青柠</t>
        </is>
      </c>
      <c r="C351" s="92">
        <f>VLOOKUP(B351,原材料价格表!$B$2:$J$242,9,)</f>
        <v/>
      </c>
      <c r="D351" s="92">
        <f>VLOOKUP(B351,原材料价格表!$B$2:$G$436,2,0)</f>
        <v/>
      </c>
      <c r="E351" s="92">
        <f>VLOOKUP(B351,原材料价格表!$B$2:$G$436,3,0)</f>
        <v/>
      </c>
      <c r="F351" s="122">
        <f>H348</f>
        <v/>
      </c>
      <c r="G351" s="92">
        <f>F348</f>
        <v/>
      </c>
      <c r="H351" s="123" t="n">
        <v>1</v>
      </c>
      <c r="I351" s="124">
        <f>F351/G351/H351</f>
        <v/>
      </c>
      <c r="J351" s="92" t="n">
        <v>15</v>
      </c>
      <c r="K351" s="124">
        <f>I351*J351</f>
        <v/>
      </c>
      <c r="L351" s="92" t="n"/>
    </row>
    <row r="352" hidden="1" ht="18" customHeight="1" s="170">
      <c r="A352" s="174" t="n"/>
      <c r="B352" s="95" t="inlineStr">
        <is>
          <t>售价</t>
        </is>
      </c>
      <c r="C352" s="92" t="n"/>
      <c r="D352" s="175" t="n">
        <v>68</v>
      </c>
      <c r="E352" s="95" t="inlineStr">
        <is>
          <t>售卖份量/g</t>
        </is>
      </c>
      <c r="F352" s="125">
        <f>SUM(J349:J351)</f>
        <v/>
      </c>
      <c r="G352" s="93" t="inlineStr">
        <is>
          <t>总成本（元）</t>
        </is>
      </c>
      <c r="H352" s="176">
        <f>SUM(K349:K351)</f>
        <v/>
      </c>
      <c r="I352" s="127" t="inlineStr">
        <is>
          <t>毛利/元</t>
        </is>
      </c>
      <c r="J352" s="127">
        <f>D352-H352</f>
        <v/>
      </c>
      <c r="K352" s="127" t="inlineStr">
        <is>
          <t>毛利率</t>
        </is>
      </c>
      <c r="L352" s="145">
        <f>J352/D352</f>
        <v/>
      </c>
    </row>
    <row r="353" hidden="1" ht="15.6" customFormat="1" customHeight="1" s="149">
      <c r="A353" s="91" t="inlineStr">
        <is>
          <t>扎佐薄荷五花丁</t>
        </is>
      </c>
      <c r="B353" s="94" t="inlineStr">
        <is>
          <t>五花肉</t>
        </is>
      </c>
      <c r="C353" s="92">
        <f>VLOOKUP(B353,原材料价格表!$B$2:$J$242,9,)</f>
        <v/>
      </c>
      <c r="D353" s="92">
        <f>VLOOKUP(B353,原材料价格表!$B$2:$G$436,2,0)</f>
        <v/>
      </c>
      <c r="E353" s="92">
        <f>VLOOKUP(B353,原材料价格表!$B$2:$G$436,3,0)</f>
        <v/>
      </c>
      <c r="F353" s="122">
        <f>VLOOKUP(B353,原材料价格表!$B$2:$G$436,6,0)</f>
        <v/>
      </c>
      <c r="G353" s="92">
        <f>VLOOKUP(B353,原材料价格表!$B$2:$G$436,5,0)</f>
        <v/>
      </c>
      <c r="H353" s="123" t="n">
        <v>0.8</v>
      </c>
      <c r="I353" s="124">
        <f>F353/G353/H353</f>
        <v/>
      </c>
      <c r="J353" s="92" t="n">
        <v>300</v>
      </c>
      <c r="K353" s="124">
        <f>I353*J353</f>
        <v/>
      </c>
      <c r="L353" s="92" t="n"/>
    </row>
    <row r="354" hidden="1" ht="15.6" customFormat="1" customHeight="1" s="149">
      <c r="A354" s="173" t="n"/>
      <c r="B354" s="94" t="inlineStr">
        <is>
          <t>味精</t>
        </is>
      </c>
      <c r="C354" s="92">
        <f>VLOOKUP(B354,原材料价格表!$B$2:$J$242,9,)</f>
        <v/>
      </c>
      <c r="D354" s="92">
        <f>VLOOKUP(B354,原材料价格表!$B$2:$G$436,2,0)</f>
        <v/>
      </c>
      <c r="E354" s="92">
        <f>VLOOKUP(B354,原材料价格表!$B$2:$G$436,3,0)</f>
        <v/>
      </c>
      <c r="F354" s="122">
        <f>VLOOKUP(B354,原材料价格表!$B$2:$G$436,6,0)</f>
        <v/>
      </c>
      <c r="G354" s="92">
        <f>VLOOKUP(B354,原材料价格表!$B$2:$G$436,5,0)</f>
        <v/>
      </c>
      <c r="H354" s="123" t="n">
        <v>0.9</v>
      </c>
      <c r="I354" s="124">
        <f>F354/G354/H354</f>
        <v/>
      </c>
      <c r="J354" s="92" t="n">
        <v>1.5</v>
      </c>
      <c r="K354" s="124">
        <f>I354*J354</f>
        <v/>
      </c>
      <c r="L354" s="92" t="n"/>
    </row>
    <row r="355" hidden="1" ht="15.6" customFormat="1" customHeight="1" s="149">
      <c r="A355" s="173" t="n"/>
      <c r="B355" s="94" t="inlineStr">
        <is>
          <t>鸡精</t>
        </is>
      </c>
      <c r="C355" s="92">
        <f>VLOOKUP(B355,原材料价格表!$B$2:$J$242,9,)</f>
        <v/>
      </c>
      <c r="D355" s="92">
        <f>VLOOKUP(B355,原材料价格表!$B$2:$G$436,2,0)</f>
        <v/>
      </c>
      <c r="E355" s="92">
        <f>VLOOKUP(B355,原材料价格表!$B$2:$G$436,3,0)</f>
        <v/>
      </c>
      <c r="F355" s="122">
        <f>VLOOKUP(B355,原材料价格表!$B$2:$G$436,6,0)</f>
        <v/>
      </c>
      <c r="G355" s="92">
        <f>VLOOKUP(B355,原材料价格表!$B$2:$G$436,5,0)</f>
        <v/>
      </c>
      <c r="H355" s="123" t="n">
        <v>0.9</v>
      </c>
      <c r="I355" s="124">
        <f>F355/G355/H355</f>
        <v/>
      </c>
      <c r="J355" s="92" t="n">
        <v>3</v>
      </c>
      <c r="K355" s="124">
        <f>I355*J355</f>
        <v/>
      </c>
      <c r="L355" s="92" t="n"/>
    </row>
    <row r="356" hidden="1" ht="15.6" customFormat="1" customHeight="1" s="149">
      <c r="A356" s="173" t="n"/>
      <c r="B356" s="94" t="inlineStr">
        <is>
          <t>耗油</t>
        </is>
      </c>
      <c r="C356" s="92">
        <f>VLOOKUP(B356,原材料价格表!$B$2:$J$242,9,)</f>
        <v/>
      </c>
      <c r="D356" s="92">
        <f>VLOOKUP(B356,原材料价格表!$B$2:$G$436,2,0)</f>
        <v/>
      </c>
      <c r="E356" s="92">
        <f>VLOOKUP(B356,原材料价格表!$B$2:$G$436,3,0)</f>
        <v/>
      </c>
      <c r="F356" s="122">
        <f>VLOOKUP(B356,原材料价格表!$B$2:$G$436,6,0)</f>
        <v/>
      </c>
      <c r="G356" s="92">
        <f>VLOOKUP(B356,原材料价格表!$B$2:$G$436,5,0)</f>
        <v/>
      </c>
      <c r="H356" s="123" t="n">
        <v>1</v>
      </c>
      <c r="I356" s="124">
        <f>F356/G356/H356</f>
        <v/>
      </c>
      <c r="J356" s="92" t="n">
        <v>5</v>
      </c>
      <c r="K356" s="124">
        <f>I356*J356</f>
        <v/>
      </c>
      <c r="L356" s="92" t="n"/>
    </row>
    <row r="357" hidden="1" ht="15.6" customFormat="1" customHeight="1" s="149">
      <c r="A357" s="173" t="n"/>
      <c r="B357" s="94" t="inlineStr">
        <is>
          <t>生抽</t>
        </is>
      </c>
      <c r="C357" s="92">
        <f>VLOOKUP(B357,原材料价格表!$B$2:$J$242,9,)</f>
        <v/>
      </c>
      <c r="D357" s="92">
        <f>VLOOKUP(B357,原材料价格表!$B$2:$G$436,2,0)</f>
        <v/>
      </c>
      <c r="E357" s="92">
        <f>VLOOKUP(B357,原材料价格表!$B$2:$G$436,3,0)</f>
        <v/>
      </c>
      <c r="F357" s="122">
        <f>VLOOKUP(B357,原材料价格表!$B$2:$G$436,6,0)</f>
        <v/>
      </c>
      <c r="G357" s="92">
        <f>VLOOKUP(B357,原材料价格表!$B$2:$G$436,5,0)</f>
        <v/>
      </c>
      <c r="H357" s="123" t="n">
        <v>0.9</v>
      </c>
      <c r="I357" s="124">
        <f>F357/G357/H357</f>
        <v/>
      </c>
      <c r="J357" s="92" t="n">
        <v>2</v>
      </c>
      <c r="K357" s="124">
        <f>I357*J357</f>
        <v/>
      </c>
      <c r="L357" s="92" t="n"/>
    </row>
    <row r="358" hidden="1" ht="17.6" customFormat="1" customHeight="1" s="149">
      <c r="A358" s="173" t="n"/>
      <c r="B358" s="94" t="inlineStr">
        <is>
          <t>草果粉</t>
        </is>
      </c>
      <c r="C358" s="92">
        <f>VLOOKUP(B358,原材料价格表!$B$2:$J$242,9,)</f>
        <v/>
      </c>
      <c r="D358" s="92">
        <f>VLOOKUP(B358,原材料价格表!$B$2:$G$436,2,0)</f>
        <v/>
      </c>
      <c r="E358" s="92">
        <f>VLOOKUP(B358,原材料价格表!$B$2:$G$436,3,0)</f>
        <v/>
      </c>
      <c r="F358" s="122" t="n">
        <v>20</v>
      </c>
      <c r="G358" s="92">
        <f>VLOOKUP(B358,原材料价格表!$B$2:$G$436,5,0)</f>
        <v/>
      </c>
      <c r="H358" s="123" t="n">
        <v>1</v>
      </c>
      <c r="I358" s="124">
        <f>F358/G358/H358</f>
        <v/>
      </c>
      <c r="J358" s="92" t="n">
        <v>1</v>
      </c>
      <c r="K358" s="124">
        <f>I358*J358</f>
        <v/>
      </c>
      <c r="L358" s="145" t="n"/>
    </row>
    <row r="359" hidden="1" ht="17.6" customFormat="1" customHeight="1" s="149">
      <c r="A359" s="173" t="n"/>
      <c r="B359" s="94" t="inlineStr">
        <is>
          <t>花椒粉</t>
        </is>
      </c>
      <c r="C359" s="92">
        <f>VLOOKUP(B359,原材料价格表!$B$2:$J$242,9,)</f>
        <v/>
      </c>
      <c r="D359" s="92">
        <f>VLOOKUP(B359,原材料价格表!$B$2:$G$436,2,0)</f>
        <v/>
      </c>
      <c r="E359" s="92">
        <f>VLOOKUP(B359,原材料价格表!$B$2:$G$436,3,0)</f>
        <v/>
      </c>
      <c r="F359" s="122">
        <f>VLOOKUP(B359,原材料价格表!$B$2:$G$436,6,0)</f>
        <v/>
      </c>
      <c r="G359" s="92">
        <f>VLOOKUP(B359,原材料价格表!$B$2:$G$436,5,0)</f>
        <v/>
      </c>
      <c r="H359" s="123" t="n">
        <v>1</v>
      </c>
      <c r="I359" s="124">
        <f>F359/G359/H359</f>
        <v/>
      </c>
      <c r="J359" s="92" t="n">
        <v>0.5</v>
      </c>
      <c r="K359" s="124">
        <f>I359*J359</f>
        <v/>
      </c>
      <c r="L359" s="145" t="n"/>
    </row>
    <row r="360" hidden="1" ht="17.6" customFormat="1" customHeight="1" s="149">
      <c r="A360" s="173" t="n"/>
      <c r="B360" s="94" t="inlineStr">
        <is>
          <t>新一代辣椒面</t>
        </is>
      </c>
      <c r="C360" s="92">
        <f>VLOOKUP(B360,原材料价格表!$B$2:$J$242,9,)</f>
        <v/>
      </c>
      <c r="D360" s="92">
        <f>VLOOKUP(B360,原材料价格表!$B$2:$G$436,2,0)</f>
        <v/>
      </c>
      <c r="E360" s="92">
        <f>VLOOKUP(B360,原材料价格表!$B$2:$G$436,3,0)</f>
        <v/>
      </c>
      <c r="F360" s="122">
        <f>VLOOKUP(B360,原材料价格表!$B$2:$G$436,6,0)</f>
        <v/>
      </c>
      <c r="G360" s="92">
        <f>VLOOKUP(B360,原材料价格表!$B$2:$G$436,5,0)</f>
        <v/>
      </c>
      <c r="H360" s="123" t="n">
        <v>1</v>
      </c>
      <c r="I360" s="124">
        <f>F360/G360/H360</f>
        <v/>
      </c>
      <c r="J360" s="92" t="n">
        <v>3</v>
      </c>
      <c r="K360" s="124">
        <f>I360*J360</f>
        <v/>
      </c>
      <c r="L360" s="145" t="n"/>
    </row>
    <row r="361" hidden="1" ht="17.6" customFormat="1" customHeight="1" s="149">
      <c r="A361" s="173" t="n"/>
      <c r="B361" s="94" t="inlineStr">
        <is>
          <t>生粉</t>
        </is>
      </c>
      <c r="C361" s="92">
        <f>VLOOKUP(B361,原材料价格表!$B$2:$J$242,9,)</f>
        <v/>
      </c>
      <c r="D361" s="92">
        <f>VLOOKUP(B361,原材料价格表!$B$2:$G$436,2,0)</f>
        <v/>
      </c>
      <c r="E361" s="92">
        <f>VLOOKUP(B361,原材料价格表!$B$2:$G$436,3,0)</f>
        <v/>
      </c>
      <c r="F361" s="122">
        <f>VLOOKUP(B361,原材料价格表!$B$2:$G$436,6,0)</f>
        <v/>
      </c>
      <c r="G361" s="92">
        <f>VLOOKUP(B361,原材料价格表!$B$2:$G$436,5,0)</f>
        <v/>
      </c>
      <c r="H361" s="123" t="n">
        <v>1</v>
      </c>
      <c r="I361" s="124">
        <f>F361/G361/H361</f>
        <v/>
      </c>
      <c r="J361" s="92" t="n">
        <v>8</v>
      </c>
      <c r="K361" s="124">
        <f>I361*J361</f>
        <v/>
      </c>
      <c r="L361" s="145" t="n"/>
    </row>
    <row r="362" hidden="1" ht="17.6" customFormat="1" customHeight="1" s="149">
      <c r="A362" s="173" t="n"/>
      <c r="B362" s="94" t="inlineStr">
        <is>
          <t>薄荷</t>
        </is>
      </c>
      <c r="C362" s="92">
        <f>VLOOKUP(B362,原材料价格表!$B$2:$J$242,9,)</f>
        <v/>
      </c>
      <c r="D362" s="92">
        <f>VLOOKUP(B362,原材料价格表!$B$2:$G$436,2,0)</f>
        <v/>
      </c>
      <c r="E362" s="92">
        <f>VLOOKUP(B362,原材料价格表!$B$2:$G$436,3,0)</f>
        <v/>
      </c>
      <c r="F362" s="122">
        <f>VLOOKUP(B362,原材料价格表!$B$2:$G$436,6,0)</f>
        <v/>
      </c>
      <c r="G362" s="92">
        <f>VLOOKUP(B362,原材料价格表!$B$2:$G$436,5,0)</f>
        <v/>
      </c>
      <c r="H362" s="123" t="n">
        <v>1</v>
      </c>
      <c r="I362" s="124">
        <f>F362/G362/H362</f>
        <v/>
      </c>
      <c r="J362" s="92" t="n">
        <v>70</v>
      </c>
      <c r="K362" s="124">
        <f>I362*J362</f>
        <v/>
      </c>
      <c r="L362" s="145" t="n"/>
    </row>
    <row r="363" hidden="1" ht="17.6" customFormat="1" customHeight="1" s="149">
      <c r="A363" s="173" t="n"/>
      <c r="B363" s="94" t="inlineStr">
        <is>
          <t>脆三丁</t>
        </is>
      </c>
      <c r="C363" s="92">
        <f>VLOOKUP(B363,原材料价格表!$B$2:$J$242,9,)</f>
        <v/>
      </c>
      <c r="D363" s="92">
        <f>VLOOKUP(B363,原材料价格表!$B$2:$G$436,2,0)</f>
        <v/>
      </c>
      <c r="E363" s="92">
        <f>VLOOKUP(B363,原材料价格表!$B$2:$G$436,3,0)</f>
        <v/>
      </c>
      <c r="F363" s="122">
        <f>VLOOKUP(B363,原材料价格表!$B$2:$G$436,6,0)</f>
        <v/>
      </c>
      <c r="G363" s="92">
        <f>VLOOKUP(B363,原材料价格表!$B$2:$G$436,5,0)</f>
        <v/>
      </c>
      <c r="H363" s="123" t="n">
        <v>1</v>
      </c>
      <c r="I363" s="124">
        <f>F363/G363/H363</f>
        <v/>
      </c>
      <c r="J363" s="92" t="n">
        <v>45</v>
      </c>
      <c r="K363" s="124">
        <f>I363*J363</f>
        <v/>
      </c>
      <c r="L363" s="145" t="n"/>
    </row>
    <row r="364" hidden="1" ht="17.6" customFormat="1" customHeight="1" s="149">
      <c r="A364" s="173" t="n"/>
      <c r="B364" s="94" t="inlineStr">
        <is>
          <t>新一代辣椒</t>
        </is>
      </c>
      <c r="C364" s="92">
        <f>VLOOKUP(B364,原材料价格表!$B$2:$J$242,9,)</f>
        <v/>
      </c>
      <c r="D364" s="92">
        <f>VLOOKUP(B364,原材料价格表!$B$2:$G$436,2,0)</f>
        <v/>
      </c>
      <c r="E364" s="92">
        <f>VLOOKUP(B364,原材料价格表!$B$2:$G$436,3,0)</f>
        <v/>
      </c>
      <c r="F364" s="122">
        <f>VLOOKUP(B364,原材料价格表!$B$2:$G$436,6,0)</f>
        <v/>
      </c>
      <c r="G364" s="92">
        <f>VLOOKUP(B364,原材料价格表!$B$2:$G$436,5,0)</f>
        <v/>
      </c>
      <c r="H364" s="123" t="n">
        <v>0.9</v>
      </c>
      <c r="I364" s="124">
        <f>F364/G364/H364</f>
        <v/>
      </c>
      <c r="J364" s="92" t="n">
        <v>10</v>
      </c>
      <c r="K364" s="124">
        <f>I364*J364</f>
        <v/>
      </c>
      <c r="L364" s="145" t="n"/>
    </row>
    <row r="365" hidden="1" ht="17.6" customFormat="1" customHeight="1" s="149">
      <c r="A365" s="173" t="n"/>
      <c r="B365" s="94" t="inlineStr">
        <is>
          <t>毕节皱皮椒</t>
        </is>
      </c>
      <c r="C365" s="92">
        <f>VLOOKUP(B365,原材料价格表!$B$2:$J$242,9,)</f>
        <v/>
      </c>
      <c r="D365" s="92">
        <f>VLOOKUP(B365,原材料价格表!$B$2:$G$436,2,0)</f>
        <v/>
      </c>
      <c r="E365" s="92">
        <f>VLOOKUP(B365,原材料价格表!$B$2:$G$436,3,0)</f>
        <v/>
      </c>
      <c r="F365" s="122">
        <f>VLOOKUP(B365,原材料价格表!$B$2:$G$436,6,0)</f>
        <v/>
      </c>
      <c r="G365" s="92">
        <f>VLOOKUP(B365,原材料价格表!$B$2:$G$436,5,0)</f>
        <v/>
      </c>
      <c r="H365" s="123" t="n">
        <v>0.9</v>
      </c>
      <c r="I365" s="124">
        <f>F365/G365/H365</f>
        <v/>
      </c>
      <c r="J365" s="92" t="n">
        <v>30</v>
      </c>
      <c r="K365" s="124">
        <f>I365*J365</f>
        <v/>
      </c>
      <c r="L365" s="145" t="n"/>
    </row>
    <row r="366" hidden="1" ht="17.6" customFormat="1" customHeight="1" s="149">
      <c r="A366" s="173" t="n"/>
      <c r="B366" s="94" t="inlineStr">
        <is>
          <t>芝麻</t>
        </is>
      </c>
      <c r="C366" s="92">
        <f>VLOOKUP(B366,原材料价格表!$B$2:$J$242,9,)</f>
        <v/>
      </c>
      <c r="D366" s="92">
        <f>VLOOKUP(B366,原材料价格表!$B$2:$G$436,2,0)</f>
        <v/>
      </c>
      <c r="E366" s="92">
        <f>VLOOKUP(B366,原材料价格表!$B$2:$G$436,3,0)</f>
        <v/>
      </c>
      <c r="F366" s="122">
        <f>VLOOKUP(B366,原材料价格表!$B$2:$G$436,6,0)</f>
        <v/>
      </c>
      <c r="G366" s="92">
        <f>VLOOKUP(B366,原材料价格表!$B$2:$G$436,5,0)</f>
        <v/>
      </c>
      <c r="H366" s="123" t="n">
        <v>1</v>
      </c>
      <c r="I366" s="124">
        <f>F366/G366/H366</f>
        <v/>
      </c>
      <c r="J366" s="92" t="n">
        <v>1</v>
      </c>
      <c r="K366" s="124">
        <f>I366*J366</f>
        <v/>
      </c>
      <c r="L366" s="145" t="n"/>
    </row>
    <row r="367" hidden="1" ht="17.6" customFormat="1" customHeight="1" s="149">
      <c r="A367" s="173" t="n"/>
      <c r="B367" s="94" t="inlineStr">
        <is>
          <t>姜</t>
        </is>
      </c>
      <c r="C367" s="92">
        <f>VLOOKUP(B367,原材料价格表!$B$2:$J$242,9,)</f>
        <v/>
      </c>
      <c r="D367" s="92">
        <f>VLOOKUP(B367,原材料价格表!$B$2:$G$436,2,0)</f>
        <v/>
      </c>
      <c r="E367" s="92">
        <f>VLOOKUP(B367,原材料价格表!$B$2:$G$436,3,0)</f>
        <v/>
      </c>
      <c r="F367" s="122">
        <f>VLOOKUP(B367,原材料价格表!$B$2:$G$436,6,0)</f>
        <v/>
      </c>
      <c r="G367" s="92">
        <f>VLOOKUP(B367,原材料价格表!$B$2:$G$436,5,0)</f>
        <v/>
      </c>
      <c r="H367" s="123" t="n">
        <v>0.95</v>
      </c>
      <c r="I367" s="124">
        <f>F367/G367/H367</f>
        <v/>
      </c>
      <c r="J367" s="92" t="n">
        <v>15</v>
      </c>
      <c r="K367" s="124">
        <f>I367*J367</f>
        <v/>
      </c>
      <c r="L367" s="145" t="n"/>
    </row>
    <row r="368" hidden="1" ht="17.6" customFormat="1" customHeight="1" s="149">
      <c r="A368" s="173" t="n"/>
      <c r="B368" s="94" t="inlineStr">
        <is>
          <t>大蒜</t>
        </is>
      </c>
      <c r="C368" s="92">
        <f>VLOOKUP(B368,原材料价格表!$B$2:$J$242,9,)</f>
        <v/>
      </c>
      <c r="D368" s="92">
        <f>VLOOKUP(B368,原材料价格表!$B$2:$G$436,2,0)</f>
        <v/>
      </c>
      <c r="E368" s="92">
        <f>VLOOKUP(B368,原材料价格表!$B$2:$G$436,3,0)</f>
        <v/>
      </c>
      <c r="F368" s="122">
        <f>VLOOKUP(B368,原材料价格表!$B$2:$G$436,6,0)</f>
        <v/>
      </c>
      <c r="G368" s="92">
        <f>VLOOKUP(B368,原材料价格表!$B$2:$G$436,5,0)</f>
        <v/>
      </c>
      <c r="H368" s="123" t="n">
        <v>1</v>
      </c>
      <c r="I368" s="124">
        <f>F368/G368/H368</f>
        <v/>
      </c>
      <c r="J368" s="92" t="n">
        <v>25</v>
      </c>
      <c r="K368" s="124">
        <f>I368*J368</f>
        <v/>
      </c>
      <c r="L368" s="145" t="n"/>
    </row>
    <row r="369" hidden="1" ht="17.6" customFormat="1" customHeight="1" s="149">
      <c r="A369" s="173" t="n"/>
      <c r="B369" s="94" t="inlineStr">
        <is>
          <t>贵州五香辣椒面</t>
        </is>
      </c>
      <c r="C369" s="92">
        <f>VLOOKUP(B369,原材料价格表!$B$2:$J$242,9,)</f>
        <v/>
      </c>
      <c r="D369" s="92">
        <f>VLOOKUP(B369,原材料价格表!$B$2:$G$436,2,0)</f>
        <v/>
      </c>
      <c r="E369" s="92">
        <f>VLOOKUP(B369,原材料价格表!$B$2:$G$436,3,0)</f>
        <v/>
      </c>
      <c r="F369" s="122">
        <f>VLOOKUP(B369,原材料价格表!$B$2:$G$436,6,0)</f>
        <v/>
      </c>
      <c r="G369" s="92">
        <f>VLOOKUP(B369,原材料价格表!$B$2:$G$436,5,0)</f>
        <v/>
      </c>
      <c r="H369" s="123" t="n">
        <v>1</v>
      </c>
      <c r="I369" s="124">
        <f>F369/G369/H369</f>
        <v/>
      </c>
      <c r="J369" s="92" t="n">
        <v>2</v>
      </c>
      <c r="K369" s="124">
        <f>I369*J369</f>
        <v/>
      </c>
      <c r="L369" s="145" t="n"/>
    </row>
    <row r="370" hidden="1" ht="18" customFormat="1" customHeight="1" s="149">
      <c r="A370" s="174" t="n"/>
      <c r="B370" s="95" t="inlineStr">
        <is>
          <t>售价</t>
        </is>
      </c>
      <c r="C370" s="92" t="n"/>
      <c r="D370" s="175" t="n">
        <v>48</v>
      </c>
      <c r="E370" s="95" t="inlineStr">
        <is>
          <t>售卖份量/g</t>
        </is>
      </c>
      <c r="F370" s="125">
        <f>SUM(J353:J362)</f>
        <v/>
      </c>
      <c r="G370" s="93" t="inlineStr">
        <is>
          <t>总成本（元）</t>
        </is>
      </c>
      <c r="H370" s="176">
        <f>SUM(K353:K362)</f>
        <v/>
      </c>
      <c r="I370" s="127" t="inlineStr">
        <is>
          <t>毛利/元</t>
        </is>
      </c>
      <c r="J370" s="127">
        <f>D370-H370</f>
        <v/>
      </c>
      <c r="K370" s="127" t="inlineStr">
        <is>
          <t>毛利率</t>
        </is>
      </c>
      <c r="L370" s="145">
        <f>J370/D370</f>
        <v/>
      </c>
    </row>
    <row r="371" hidden="1" ht="15.6" customHeight="1" s="170">
      <c r="A371" s="91" t="inlineStr">
        <is>
          <t>黄辣丁</t>
        </is>
      </c>
      <c r="B371" s="94" t="inlineStr">
        <is>
          <t>黄辣丁</t>
        </is>
      </c>
      <c r="C371" s="92">
        <f>VLOOKUP(B371,原材料价格表!$B$2:$J$242,9,)</f>
        <v/>
      </c>
      <c r="D371" s="92">
        <f>VLOOKUP(B371,原材料价格表!$B$2:$G$436,2,0)</f>
        <v/>
      </c>
      <c r="E371" s="92" t="n">
        <v>0</v>
      </c>
      <c r="F371" s="122">
        <f>VLOOKUP(B371,原材料价格表!$B$2:$G$436,6,0)</f>
        <v/>
      </c>
      <c r="G371" s="92">
        <f>VLOOKUP(B371,原材料价格表!$B$2:$G$436,5,0)</f>
        <v/>
      </c>
      <c r="H371" s="123" t="n">
        <v>1</v>
      </c>
      <c r="I371" s="124">
        <f>F371/G371/H371</f>
        <v/>
      </c>
      <c r="J371" s="92" t="n">
        <v>500</v>
      </c>
      <c r="K371" s="124">
        <f>I371*J371</f>
        <v/>
      </c>
      <c r="L371" s="92" t="n"/>
    </row>
    <row r="372" hidden="1" ht="18" customHeight="1" s="170">
      <c r="A372" s="174" t="n"/>
      <c r="B372" s="95" t="inlineStr">
        <is>
          <t>售价</t>
        </is>
      </c>
      <c r="C372" s="92" t="n"/>
      <c r="D372" s="175" t="n">
        <v>48</v>
      </c>
      <c r="E372" s="95" t="inlineStr">
        <is>
          <t>售卖份量/g</t>
        </is>
      </c>
      <c r="F372" s="125">
        <f>SUM(J371:J371)</f>
        <v/>
      </c>
      <c r="G372" s="93" t="inlineStr">
        <is>
          <t>总成本（元）</t>
        </is>
      </c>
      <c r="H372" s="176">
        <f>SUM(K371:K371)</f>
        <v/>
      </c>
      <c r="I372" s="127" t="inlineStr">
        <is>
          <t>毛利/元</t>
        </is>
      </c>
      <c r="J372" s="127">
        <f>D372-H372</f>
        <v/>
      </c>
      <c r="K372" s="127" t="inlineStr">
        <is>
          <t>毛利率</t>
        </is>
      </c>
      <c r="L372" s="145">
        <f>J372/D372</f>
        <v/>
      </c>
    </row>
    <row r="373" hidden="1" ht="15.6" customHeight="1" s="170">
      <c r="A373" s="91" t="inlineStr">
        <is>
          <t>紫白菜</t>
        </is>
      </c>
      <c r="B373" s="94" t="inlineStr">
        <is>
          <t>紫白菜</t>
        </is>
      </c>
      <c r="C373" s="92">
        <f>VLOOKUP(B373,原材料价格表!$B$2:$J$242,9,)</f>
        <v/>
      </c>
      <c r="D373" s="92">
        <f>VLOOKUP(B373,原材料价格表!$B$2:$G$436,2,0)</f>
        <v/>
      </c>
      <c r="E373" s="92" t="n">
        <v>0</v>
      </c>
      <c r="F373" s="122">
        <f>VLOOKUP(B373,原材料价格表!$B$2:$G$436,6,0)</f>
        <v/>
      </c>
      <c r="G373" s="92">
        <f>VLOOKUP(B373,原材料价格表!$B$2:$G$436,5,0)</f>
        <v/>
      </c>
      <c r="H373" s="123" t="n">
        <v>0.66</v>
      </c>
      <c r="I373" s="124">
        <f>F373/G373/H373</f>
        <v/>
      </c>
      <c r="J373" s="92" t="n">
        <v>180</v>
      </c>
      <c r="K373" s="124">
        <f>I373*J373</f>
        <v/>
      </c>
      <c r="L373" s="92" t="n"/>
    </row>
    <row r="374" hidden="1" ht="18" customHeight="1" s="170">
      <c r="A374" s="174" t="n"/>
      <c r="B374" s="95" t="inlineStr">
        <is>
          <t>售价</t>
        </is>
      </c>
      <c r="C374" s="92" t="n"/>
      <c r="D374" s="175" t="n">
        <v>16</v>
      </c>
      <c r="E374" s="95" t="inlineStr">
        <is>
          <t>售卖份量/g</t>
        </is>
      </c>
      <c r="F374" s="125">
        <f>SUM(J373:J373)</f>
        <v/>
      </c>
      <c r="G374" s="93" t="inlineStr">
        <is>
          <t>总成本（元）</t>
        </is>
      </c>
      <c r="H374" s="176">
        <f>SUM(K373:K373)</f>
        <v/>
      </c>
      <c r="I374" s="127" t="inlineStr">
        <is>
          <t>毛利/元</t>
        </is>
      </c>
      <c r="J374" s="127">
        <f>D374-H374</f>
        <v/>
      </c>
      <c r="K374" s="127" t="inlineStr">
        <is>
          <t>毛利率</t>
        </is>
      </c>
      <c r="L374" s="145">
        <f>J374/D374</f>
        <v/>
      </c>
    </row>
    <row r="375" hidden="1" ht="15.6" customHeight="1" s="170">
      <c r="A375" s="91" t="inlineStr">
        <is>
          <t>黄苦菊</t>
        </is>
      </c>
      <c r="B375" s="94" t="inlineStr">
        <is>
          <t>黄苦菊</t>
        </is>
      </c>
      <c r="C375" s="92">
        <f>VLOOKUP(B375,原材料价格表!$B$2:$J$242,9,)</f>
        <v/>
      </c>
      <c r="D375" s="92">
        <f>VLOOKUP(B375,原材料价格表!$B$2:$G$436,2,0)</f>
        <v/>
      </c>
      <c r="E375" s="92" t="n">
        <v>0</v>
      </c>
      <c r="F375" s="122">
        <f>VLOOKUP(B375,原材料价格表!$B$2:$G$436,6,0)</f>
        <v/>
      </c>
      <c r="G375" s="92">
        <f>VLOOKUP(B375,原材料价格表!$B$2:$G$436,5,0)</f>
        <v/>
      </c>
      <c r="H375" s="123" t="n">
        <v>0.7</v>
      </c>
      <c r="I375" s="124">
        <f>F375/G375/H375</f>
        <v/>
      </c>
      <c r="J375" s="92" t="n">
        <v>130</v>
      </c>
      <c r="K375" s="124">
        <f>I375*J375</f>
        <v/>
      </c>
      <c r="L375" s="92" t="n"/>
    </row>
    <row r="376" hidden="1" ht="18" customHeight="1" s="170">
      <c r="A376" s="174" t="n"/>
      <c r="B376" s="95" t="inlineStr">
        <is>
          <t>售价</t>
        </is>
      </c>
      <c r="C376" s="92" t="n"/>
      <c r="D376" s="175" t="n">
        <v>12</v>
      </c>
      <c r="E376" s="95" t="inlineStr">
        <is>
          <t>售卖份量/g</t>
        </is>
      </c>
      <c r="F376" s="125">
        <f>SUM(J375:J375)</f>
        <v/>
      </c>
      <c r="G376" s="93" t="inlineStr">
        <is>
          <t>总成本（元）</t>
        </is>
      </c>
      <c r="H376" s="176">
        <f>SUM(K375:K375)</f>
        <v/>
      </c>
      <c r="I376" s="127" t="inlineStr">
        <is>
          <t>毛利/元</t>
        </is>
      </c>
      <c r="J376" s="127">
        <f>D376-H376</f>
        <v/>
      </c>
      <c r="K376" s="127" t="inlineStr">
        <is>
          <t>毛利率</t>
        </is>
      </c>
      <c r="L376" s="145">
        <f>J376/D376</f>
        <v/>
      </c>
    </row>
    <row r="377" hidden="1" ht="15.6" customHeight="1" s="170">
      <c r="A377" s="91" t="inlineStr">
        <is>
          <t>豆米汤饭</t>
        </is>
      </c>
      <c r="B377" s="94" t="inlineStr">
        <is>
          <t>豆米底料</t>
        </is>
      </c>
      <c r="C377" s="92">
        <f>VLOOKUP(B377,原材料价格表!$B$2:$J$242,9,)</f>
        <v/>
      </c>
      <c r="D377" s="92">
        <f>VLOOKUP(B377,原材料价格表!$B$2:$G$436,2,0)</f>
        <v/>
      </c>
      <c r="E377" s="92">
        <f>VLOOKUP(B377,原材料价格表!$B$2:$G$436,3,0)</f>
        <v/>
      </c>
      <c r="F377" s="122">
        <f>VLOOKUP(B377,原材料价格表!$B$2:$G$436,6,0)</f>
        <v/>
      </c>
      <c r="G377" s="92">
        <f>VLOOKUP(B377,原材料价格表!$B$2:$G$436,5,0)</f>
        <v/>
      </c>
      <c r="H377" s="123" t="n">
        <v>1</v>
      </c>
      <c r="I377" s="124">
        <f>F377/G377/H377</f>
        <v/>
      </c>
      <c r="J377" s="92" t="n">
        <v>200</v>
      </c>
      <c r="K377" s="124">
        <f>I377*J377</f>
        <v/>
      </c>
      <c r="L377" s="92" t="n"/>
    </row>
    <row r="378" hidden="1" ht="15.6" customHeight="1" s="170">
      <c r="A378" s="173" t="n"/>
      <c r="B378" s="94" t="inlineStr">
        <is>
          <t>米饭</t>
        </is>
      </c>
      <c r="C378" s="92">
        <f>VLOOKUP(B378,原材料价格表!$B$2:$J$242,9,)</f>
        <v/>
      </c>
      <c r="D378" s="92">
        <f>VLOOKUP(B378,原材料价格表!$B$2:$G$436,2,0)</f>
        <v/>
      </c>
      <c r="E378" s="92">
        <f>VLOOKUP(B378,原材料价格表!$B$2:$G$436,3,0)</f>
        <v/>
      </c>
      <c r="F378" s="122">
        <f>VLOOKUP(B378,原材料价格表!$B$2:$G$436,6,0)</f>
        <v/>
      </c>
      <c r="G378" s="92">
        <f>VLOOKUP(B378,原材料价格表!$B$2:$G$436,5,0)</f>
        <v/>
      </c>
      <c r="H378" s="123" t="n">
        <v>1</v>
      </c>
      <c r="I378" s="124">
        <f>F378/G378/H378</f>
        <v/>
      </c>
      <c r="J378" s="92" t="n">
        <v>250</v>
      </c>
      <c r="K378" s="124">
        <f>I378*J378</f>
        <v/>
      </c>
      <c r="L378" s="92" t="n"/>
    </row>
    <row r="379" hidden="1" ht="15.6" customHeight="1" s="170">
      <c r="A379" s="173" t="n"/>
      <c r="B379" s="94" t="inlineStr">
        <is>
          <t>鸡蛋</t>
        </is>
      </c>
      <c r="C379" s="92">
        <f>VLOOKUP(B379,原材料价格表!$B$2:$J$242,9,)</f>
        <v/>
      </c>
      <c r="D379" s="92">
        <f>VLOOKUP(B379,原材料价格表!$B$2:$G$436,2,0)</f>
        <v/>
      </c>
      <c r="E379" s="92">
        <f>VLOOKUP(B379,原材料价格表!$B$2:$G$436,3,0)</f>
        <v/>
      </c>
      <c r="F379" s="122">
        <f>VLOOKUP(B379,原材料价格表!$B$2:$G$436,6,0)</f>
        <v/>
      </c>
      <c r="G379" s="92">
        <f>VLOOKUP(B379,原材料价格表!$B$2:$G$436,5,0)</f>
        <v/>
      </c>
      <c r="H379" s="123" t="n">
        <v>1</v>
      </c>
      <c r="I379" s="124">
        <f>F379/G379/H379</f>
        <v/>
      </c>
      <c r="J379" s="92" t="n">
        <v>50</v>
      </c>
      <c r="K379" s="124">
        <f>I379*J379</f>
        <v/>
      </c>
      <c r="L379" s="92" t="n"/>
    </row>
    <row r="380" hidden="1" ht="15.6" customHeight="1" s="170">
      <c r="A380" s="173" t="n"/>
      <c r="B380" s="94" t="inlineStr">
        <is>
          <t>茼蒿</t>
        </is>
      </c>
      <c r="C380" s="92">
        <f>VLOOKUP(B380,原材料价格表!$B$2:$J$242,9,)</f>
        <v/>
      </c>
      <c r="D380" s="92">
        <f>VLOOKUP(B380,原材料价格表!$B$2:$G$436,2,0)</f>
        <v/>
      </c>
      <c r="E380" s="92">
        <f>VLOOKUP(B380,原材料价格表!$B$2:$G$436,3,0)</f>
        <v/>
      </c>
      <c r="F380" s="122">
        <f>VLOOKUP(B380,原材料价格表!$B$2:$G$436,6,0)</f>
        <v/>
      </c>
      <c r="G380" s="92">
        <f>VLOOKUP(B380,原材料价格表!$B$2:$G$436,5,0)</f>
        <v/>
      </c>
      <c r="H380" s="123" t="n">
        <v>0.7</v>
      </c>
      <c r="I380" s="124">
        <f>F380/G380/H380</f>
        <v/>
      </c>
      <c r="J380" s="92" t="n">
        <v>50</v>
      </c>
      <c r="K380" s="124">
        <f>I380*J380</f>
        <v/>
      </c>
      <c r="L380" s="92" t="n"/>
    </row>
    <row r="381" hidden="1" ht="15.6" customHeight="1" s="170">
      <c r="A381" s="173" t="n"/>
      <c r="B381" s="94" t="inlineStr">
        <is>
          <t>球盖菇</t>
        </is>
      </c>
      <c r="C381" s="92">
        <f>VLOOKUP(B381,原材料价格表!$B$2:$J$242,9,)</f>
        <v/>
      </c>
      <c r="D381" s="92">
        <f>VLOOKUP(B381,原材料价格表!$B$2:$G$436,2,0)</f>
        <v/>
      </c>
      <c r="E381" s="92">
        <f>VLOOKUP(B381,原材料价格表!$B$2:$G$436,3,0)</f>
        <v/>
      </c>
      <c r="F381" s="122">
        <f>VLOOKUP(B381,原材料价格表!$B$2:$G$436,6,0)</f>
        <v/>
      </c>
      <c r="G381" s="92">
        <f>VLOOKUP(B381,原材料价格表!$B$2:$G$436,5,0)</f>
        <v/>
      </c>
      <c r="H381" s="123" t="n">
        <v>0.9</v>
      </c>
      <c r="I381" s="124">
        <f>F381/G381/H381</f>
        <v/>
      </c>
      <c r="J381" s="92" t="n">
        <v>50</v>
      </c>
      <c r="K381" s="124">
        <f>I381*J381</f>
        <v/>
      </c>
      <c r="L381" s="92" t="n"/>
    </row>
    <row r="382" hidden="1" ht="17.6" customHeight="1" s="170">
      <c r="A382" s="173" t="n"/>
      <c r="B382" s="94" t="inlineStr">
        <is>
          <t>脆哨</t>
        </is>
      </c>
      <c r="C382" s="92">
        <f>VLOOKUP(B382,原材料价格表!$B$2:$J$242,9,)</f>
        <v/>
      </c>
      <c r="D382" s="92">
        <f>VLOOKUP(B382,原材料价格表!$B$2:$G$436,2,0)</f>
        <v/>
      </c>
      <c r="E382" s="92">
        <f>VLOOKUP(B382,原材料价格表!$B$2:$G$436,3,0)</f>
        <v/>
      </c>
      <c r="F382" s="122" t="n">
        <v>20</v>
      </c>
      <c r="G382" s="92">
        <f>VLOOKUP(B382,原材料价格表!$B$2:$G$436,5,0)</f>
        <v/>
      </c>
      <c r="H382" s="123" t="n">
        <v>1</v>
      </c>
      <c r="I382" s="124">
        <f>F382/G382/H382</f>
        <v/>
      </c>
      <c r="J382" s="92" t="n">
        <v>10</v>
      </c>
      <c r="K382" s="124">
        <f>I382*J382</f>
        <v/>
      </c>
      <c r="L382" s="145" t="n"/>
    </row>
    <row r="383" hidden="1" ht="17.6" customHeight="1" s="170">
      <c r="A383" s="173" t="n"/>
      <c r="B383" s="94" t="inlineStr">
        <is>
          <t>蒜苗</t>
        </is>
      </c>
      <c r="C383" s="92">
        <f>VLOOKUP(B383,原材料价格表!$B$2:$J$242,9,)</f>
        <v/>
      </c>
      <c r="D383" s="92">
        <f>VLOOKUP(B383,原材料价格表!$B$2:$G$436,2,0)</f>
        <v/>
      </c>
      <c r="E383" s="92">
        <f>VLOOKUP(B383,原材料价格表!$B$2:$G$436,3,0)</f>
        <v/>
      </c>
      <c r="F383" s="122">
        <f>VLOOKUP(B383,原材料价格表!$B$2:$G$436,6,0)</f>
        <v/>
      </c>
      <c r="G383" s="92">
        <f>VLOOKUP(B383,原材料价格表!$B$2:$G$436,5,0)</f>
        <v/>
      </c>
      <c r="H383" s="123" t="n">
        <v>0.95</v>
      </c>
      <c r="I383" s="124">
        <f>F383/G383/H383</f>
        <v/>
      </c>
      <c r="J383" s="92" t="n">
        <v>15</v>
      </c>
      <c r="K383" s="124">
        <f>I383*J383</f>
        <v/>
      </c>
      <c r="L383" s="145" t="n"/>
    </row>
    <row r="384" hidden="1" ht="17.6" customHeight="1" s="170">
      <c r="A384" s="173" t="n"/>
      <c r="B384" s="94" t="inlineStr">
        <is>
          <t>番茄</t>
        </is>
      </c>
      <c r="C384" s="92">
        <f>VLOOKUP(B384,原材料价格表!$B$2:$J$242,9,)</f>
        <v/>
      </c>
      <c r="D384" s="92">
        <f>VLOOKUP(B384,原材料价格表!$B$2:$G$436,2,0)</f>
        <v/>
      </c>
      <c r="E384" s="92">
        <f>VLOOKUP(B384,原材料价格表!$B$2:$G$436,3,0)</f>
        <v/>
      </c>
      <c r="F384" s="122">
        <f>VLOOKUP(B384,原材料价格表!$B$2:$G$436,6,0)</f>
        <v/>
      </c>
      <c r="G384" s="92">
        <f>VLOOKUP(B384,原材料价格表!$B$2:$G$436,5,0)</f>
        <v/>
      </c>
      <c r="H384" s="123" t="n">
        <v>0.95</v>
      </c>
      <c r="I384" s="124">
        <f>F384/G384/H384</f>
        <v/>
      </c>
      <c r="J384" s="92" t="n">
        <v>40</v>
      </c>
      <c r="K384" s="124">
        <f>I384*J384</f>
        <v/>
      </c>
      <c r="L384" s="145" t="n"/>
    </row>
    <row r="385" hidden="1" ht="17.6" customHeight="1" s="170">
      <c r="A385" s="173" t="n"/>
      <c r="B385" s="94" t="inlineStr">
        <is>
          <t>烟熏腊肉</t>
        </is>
      </c>
      <c r="C385" s="92">
        <f>VLOOKUP(B385,原材料价格表!$B$2:$J$242,9,)</f>
        <v/>
      </c>
      <c r="D385" s="92">
        <f>VLOOKUP(B385,原材料价格表!$B$2:$G$436,2,0)</f>
        <v/>
      </c>
      <c r="E385" s="92">
        <f>VLOOKUP(B385,原材料价格表!$B$2:$G$436,3,0)</f>
        <v/>
      </c>
      <c r="F385" s="122">
        <f>VLOOKUP(B385,原材料价格表!$B$2:$G$436,6,0)</f>
        <v/>
      </c>
      <c r="G385" s="92">
        <f>VLOOKUP(B385,原材料价格表!$B$2:$G$436,5,0)</f>
        <v/>
      </c>
      <c r="H385" s="123" t="n">
        <v>1</v>
      </c>
      <c r="I385" s="124">
        <f>F385/G385/H385</f>
        <v/>
      </c>
      <c r="J385" s="92" t="n">
        <v>30</v>
      </c>
      <c r="K385" s="124">
        <f>I385*J385</f>
        <v/>
      </c>
      <c r="L385" s="145" t="n"/>
    </row>
    <row r="386" hidden="1" ht="18" customHeight="1" s="170">
      <c r="A386" s="174" t="n"/>
      <c r="B386" s="95" t="inlineStr">
        <is>
          <t>售价</t>
        </is>
      </c>
      <c r="C386" s="92" t="n"/>
      <c r="D386" s="175" t="n">
        <v>48</v>
      </c>
      <c r="E386" s="95" t="inlineStr">
        <is>
          <t>售卖份量/g</t>
        </is>
      </c>
      <c r="F386" s="125">
        <f>SUM(J377:J385)</f>
        <v/>
      </c>
      <c r="G386" s="93" t="inlineStr">
        <is>
          <t>总成本（元）</t>
        </is>
      </c>
      <c r="H386" s="176">
        <f>SUM(K377:K385)</f>
        <v/>
      </c>
      <c r="I386" s="127" t="inlineStr">
        <is>
          <t>毛利/元</t>
        </is>
      </c>
      <c r="J386" s="127">
        <f>D386-H386</f>
        <v/>
      </c>
      <c r="K386" s="127" t="inlineStr">
        <is>
          <t>毛利率</t>
        </is>
      </c>
      <c r="L386" s="145">
        <f>J386/D386</f>
        <v/>
      </c>
    </row>
    <row r="387" hidden="1" ht="15.6" customHeight="1" s="170">
      <c r="A387" s="91" t="inlineStr">
        <is>
          <t>定西土豆粉</t>
        </is>
      </c>
      <c r="B387" s="94" t="inlineStr">
        <is>
          <t>定西土豆粉</t>
        </is>
      </c>
      <c r="C387" s="92">
        <f>VLOOKUP(B387,原材料价格表!$B$2:$J$242,9,)</f>
        <v/>
      </c>
      <c r="D387" s="92">
        <f>VLOOKUP(B387,原材料价格表!$B$2:$G$436,2,0)</f>
        <v/>
      </c>
      <c r="E387" s="92" t="n">
        <v>0</v>
      </c>
      <c r="F387" s="122">
        <f>VLOOKUP(B387,原材料价格表!$B$2:$G$436,6,0)</f>
        <v/>
      </c>
      <c r="G387" s="92">
        <f>VLOOKUP(B387,原材料价格表!$B$2:$G$436,5,0)</f>
        <v/>
      </c>
      <c r="H387" s="123" t="n">
        <v>2.9</v>
      </c>
      <c r="I387" s="124">
        <f>F387/G387/H387</f>
        <v/>
      </c>
      <c r="J387" s="92" t="n">
        <v>200</v>
      </c>
      <c r="K387" s="124">
        <f>I387*J387</f>
        <v/>
      </c>
      <c r="L387" s="92" t="n"/>
    </row>
    <row r="388" hidden="1" ht="18" customHeight="1" s="170">
      <c r="A388" s="174" t="n"/>
      <c r="B388" s="95" t="inlineStr">
        <is>
          <t>售价</t>
        </is>
      </c>
      <c r="C388" s="92" t="n"/>
      <c r="D388" s="175" t="n">
        <v>12</v>
      </c>
      <c r="E388" s="95" t="inlineStr">
        <is>
          <t>售卖份量/g</t>
        </is>
      </c>
      <c r="F388" s="125">
        <f>SUM(J387:J387)</f>
        <v/>
      </c>
      <c r="G388" s="93" t="inlineStr">
        <is>
          <t>总成本（元）</t>
        </is>
      </c>
      <c r="H388" s="176">
        <f>SUM(K387:K387)</f>
        <v/>
      </c>
      <c r="I388" s="127" t="inlineStr">
        <is>
          <t>毛利/元</t>
        </is>
      </c>
      <c r="J388" s="127">
        <f>D388-H388</f>
        <v/>
      </c>
      <c r="K388" s="127" t="inlineStr">
        <is>
          <t>毛利率</t>
        </is>
      </c>
      <c r="L388" s="145">
        <f>J388/D388</f>
        <v/>
      </c>
    </row>
    <row r="389" hidden="1" s="170"/>
    <row r="390" hidden="1" s="170"/>
    <row r="391" hidden="1" s="170"/>
    <row r="392" hidden="1" s="170"/>
    <row r="393" hidden="1" s="170"/>
    <row r="394" hidden="1" s="170"/>
    <row r="395" hidden="1" s="170"/>
    <row r="396" hidden="1" s="170"/>
    <row r="397" hidden="1" s="170"/>
    <row r="398" hidden="1" s="170"/>
    <row r="399" hidden="1" s="170"/>
    <row r="400" hidden="1" s="170"/>
    <row r="401" hidden="1" s="170"/>
    <row r="402" hidden="1" s="170"/>
    <row r="403" hidden="1" s="170"/>
    <row r="404" hidden="1" s="170"/>
    <row r="405" hidden="1" s="170"/>
    <row r="406" hidden="1" s="170"/>
    <row r="407" hidden="1" s="170"/>
    <row r="408" hidden="1" s="170"/>
    <row r="409" hidden="1" s="170"/>
    <row r="410" hidden="1" s="170"/>
    <row r="411" hidden="1" s="170"/>
    <row r="412" hidden="1" s="170"/>
    <row r="413" hidden="1" s="170"/>
    <row r="414" hidden="1" s="170"/>
    <row r="415" hidden="1" s="170"/>
    <row r="416" hidden="1" s="170"/>
    <row r="417" hidden="1" s="170"/>
    <row r="418" hidden="1" s="170"/>
    <row r="419" hidden="1" s="170"/>
    <row r="420" hidden="1" s="170"/>
    <row r="421" hidden="1" s="170"/>
    <row r="422" hidden="1" s="170"/>
    <row r="423" hidden="1" s="170"/>
    <row r="424" hidden="1" s="170"/>
    <row r="425" hidden="1" s="170"/>
    <row r="426" hidden="1" s="170"/>
    <row r="427" hidden="1" s="170"/>
    <row r="428" hidden="1" s="170"/>
    <row r="429" hidden="1" s="170"/>
    <row r="430" hidden="1" s="170"/>
    <row r="431" hidden="1" s="170"/>
    <row r="432" hidden="1" s="170"/>
    <row r="433" hidden="1" s="170"/>
    <row r="434" hidden="1" s="170"/>
    <row r="435" hidden="1" s="170"/>
    <row r="436" hidden="1" s="170"/>
    <row r="437" hidden="1" s="170"/>
    <row r="438" hidden="1" s="170">
      <c r="J438" s="168" t="n"/>
    </row>
    <row r="439" hidden="1" s="170">
      <c r="J439" s="169" t="n"/>
    </row>
    <row r="440" hidden="1" s="170">
      <c r="J440" s="169" t="n"/>
    </row>
    <row r="441" hidden="1" s="170">
      <c r="J441" s="169" t="n"/>
    </row>
    <row r="442" hidden="1" s="170">
      <c r="J442" s="169" t="n"/>
    </row>
    <row r="443" hidden="1" s="170">
      <c r="J443" s="169" t="n"/>
    </row>
    <row r="444" hidden="1" s="170">
      <c r="J444" s="168" t="n"/>
    </row>
    <row r="445" hidden="1" s="170">
      <c r="J445" s="168" t="n"/>
    </row>
    <row r="446" hidden="1" s="170">
      <c r="J446" s="168" t="n"/>
    </row>
    <row r="447" hidden="1" s="170">
      <c r="J447" s="169" t="n"/>
    </row>
    <row r="448" hidden="1" s="170">
      <c r="J448" s="169" t="n"/>
    </row>
    <row r="449" hidden="1" s="170">
      <c r="J449" s="168" t="n"/>
    </row>
    <row r="450" hidden="1" s="170">
      <c r="J450" s="169" t="n"/>
    </row>
    <row r="451" hidden="1" s="170">
      <c r="J451" s="169" t="n"/>
    </row>
    <row r="452" hidden="1" s="170">
      <c r="J452" s="169" t="n"/>
    </row>
    <row r="453" hidden="1" s="170">
      <c r="J453" s="169" t="n"/>
    </row>
    <row r="454" hidden="1" s="170">
      <c r="J454" s="168" t="n"/>
    </row>
    <row r="455" hidden="1" s="170">
      <c r="J455" s="169" t="n"/>
    </row>
  </sheetData>
  <autoFilter ref="A1:L455">
    <filterColumn colId="0" hiddenButton="0" showButton="1">
      <colorFilter dxfId="0"/>
    </filterColumn>
  </autoFilter>
  <mergeCells count="75">
    <mergeCell ref="A27:A33"/>
    <mergeCell ref="A325:A326"/>
    <mergeCell ref="A52:A57"/>
    <mergeCell ref="A136:A140"/>
    <mergeCell ref="A79:A82"/>
    <mergeCell ref="A76:A78"/>
    <mergeCell ref="A45:A46"/>
    <mergeCell ref="A155:A173"/>
    <mergeCell ref="A204:A210"/>
    <mergeCell ref="A309:A311"/>
    <mergeCell ref="A63:A65"/>
    <mergeCell ref="A14:A16"/>
    <mergeCell ref="A150:A154"/>
    <mergeCell ref="A98:A105"/>
    <mergeCell ref="A276:A283"/>
    <mergeCell ref="A66:A67"/>
    <mergeCell ref="A227:A239"/>
    <mergeCell ref="A253:A257"/>
    <mergeCell ref="A141:A149"/>
    <mergeCell ref="A211:A226"/>
    <mergeCell ref="A34:A36"/>
    <mergeCell ref="A316:A317"/>
    <mergeCell ref="A241:A252"/>
    <mergeCell ref="A265:A269"/>
    <mergeCell ref="A3:A6"/>
    <mergeCell ref="A258:A264"/>
    <mergeCell ref="A89:A90"/>
    <mergeCell ref="A375:A376"/>
    <mergeCell ref="A49:A51"/>
    <mergeCell ref="A327:A328"/>
    <mergeCell ref="A40:A42"/>
    <mergeCell ref="A21:A22"/>
    <mergeCell ref="A58:A62"/>
    <mergeCell ref="A312:A313"/>
    <mergeCell ref="A320:A322"/>
    <mergeCell ref="A298:A301"/>
    <mergeCell ref="A83:A85"/>
    <mergeCell ref="A70:A72"/>
    <mergeCell ref="A353:A370"/>
    <mergeCell ref="A23:A26"/>
    <mergeCell ref="A73:A75"/>
    <mergeCell ref="A272:A275"/>
    <mergeCell ref="A91:A94"/>
    <mergeCell ref="A17:A20"/>
    <mergeCell ref="A371:A372"/>
    <mergeCell ref="A47:A48"/>
    <mergeCell ref="A336:A348"/>
    <mergeCell ref="A314:A315"/>
    <mergeCell ref="A200:A203"/>
    <mergeCell ref="A318:A319"/>
    <mergeCell ref="A106:A116"/>
    <mergeCell ref="A291:A297"/>
    <mergeCell ref="A323:A324"/>
    <mergeCell ref="A329:A335"/>
    <mergeCell ref="A270:A271"/>
    <mergeCell ref="A68:A69"/>
    <mergeCell ref="A10:A13"/>
    <mergeCell ref="A191:A199"/>
    <mergeCell ref="A373:A374"/>
    <mergeCell ref="A43:A44"/>
    <mergeCell ref="A7:A9"/>
    <mergeCell ref="A117:A125"/>
    <mergeCell ref="A174:A187"/>
    <mergeCell ref="A284:A290"/>
    <mergeCell ref="A126:A135"/>
    <mergeCell ref="A1:L1"/>
    <mergeCell ref="A377:A386"/>
    <mergeCell ref="A86:A88"/>
    <mergeCell ref="A188:A190"/>
    <mergeCell ref="A306:A308"/>
    <mergeCell ref="A37:A39"/>
    <mergeCell ref="A95:A97"/>
    <mergeCell ref="A304:A305"/>
    <mergeCell ref="A387:A388"/>
    <mergeCell ref="A349:A352"/>
  </mergeCells>
  <conditionalFormatting sqref="J436:J459">
    <cfRule type="duplicateValues" priority="1" dxfId="1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27" sqref="A27:A32"/>
    </sheetView>
  </sheetViews>
  <sheetFormatPr baseColWidth="8" defaultColWidth="9.14423076923077" defaultRowHeight="15.2"/>
  <cols>
    <col width="24.1923076923077" customWidth="1" style="170" min="1" max="1"/>
    <col width="16.7211538461538" customWidth="1" style="170" min="2" max="2"/>
    <col width="16.6153846153846" customWidth="1" style="170" min="3" max="3"/>
    <col width="21.1442307692308" customWidth="1" style="170" min="4" max="4"/>
    <col width="16.6153846153846" customWidth="1" style="170" min="5" max="11"/>
    <col width="12.8557692307692" customWidth="1" style="170" min="12" max="12"/>
  </cols>
  <sheetData>
    <row r="1" ht="28.4" customHeight="1" s="170">
      <c r="A1" s="78" t="inlineStr">
        <is>
          <t>菜品成本卡</t>
        </is>
      </c>
      <c r="B1" s="171" t="n"/>
      <c r="C1" s="171" t="n"/>
      <c r="D1" s="171" t="n"/>
      <c r="E1" s="171" t="n"/>
      <c r="F1" s="171" t="n"/>
      <c r="G1" s="171" t="n"/>
      <c r="H1" s="171" t="n"/>
      <c r="I1" s="171" t="n"/>
      <c r="J1" s="171" t="n"/>
      <c r="K1" s="172" t="n"/>
    </row>
    <row r="2" ht="17.6" customHeight="1" s="170">
      <c r="A2" s="79" t="inlineStr">
        <is>
          <t>菜品</t>
        </is>
      </c>
      <c r="B2" s="79" t="inlineStr">
        <is>
          <t>名称</t>
        </is>
      </c>
      <c r="C2" s="79" t="inlineStr">
        <is>
          <t>进货渠道</t>
        </is>
      </c>
      <c r="D2" s="79" t="inlineStr">
        <is>
          <t>品牌</t>
        </is>
      </c>
      <c r="E2" s="79" t="inlineStr">
        <is>
          <t>进价/元</t>
        </is>
      </c>
      <c r="F2" s="79" t="inlineStr">
        <is>
          <t>进货量/g</t>
        </is>
      </c>
      <c r="G2" s="79" t="inlineStr">
        <is>
          <t>净货率</t>
        </is>
      </c>
      <c r="H2" s="79" t="inlineStr">
        <is>
          <t>单价/g</t>
        </is>
      </c>
      <c r="I2" s="79" t="inlineStr">
        <is>
          <t>用量/g</t>
        </is>
      </c>
      <c r="J2" s="93" t="inlineStr">
        <is>
          <t>成本/元</t>
        </is>
      </c>
      <c r="K2" s="79" t="inlineStr">
        <is>
          <t>备注</t>
        </is>
      </c>
    </row>
    <row r="3" ht="15.6" customHeight="1" s="170">
      <c r="A3" s="80" t="inlineStr">
        <is>
          <t>山茶花茶汤（半成品）</t>
        </is>
      </c>
      <c r="B3" s="81" t="inlineStr">
        <is>
          <t>山茶花乌龙茶</t>
        </is>
      </c>
      <c r="C3" s="82">
        <f>VLOOKUP(B3,原材料价格表!$B$2:$G$436,2,0)</f>
        <v/>
      </c>
      <c r="D3" s="82">
        <f>VLOOKUP(B3,原材料价格表!$B$2:$G$436,4,0)</f>
        <v/>
      </c>
      <c r="E3" s="110">
        <f>VLOOKUP(B3,原材料价格表!$B$2:$G$436,6,0)</f>
        <v/>
      </c>
      <c r="F3" s="82">
        <f>VLOOKUP(B3,原材料价格表!$B$2:$G$436,5,0)</f>
        <v/>
      </c>
      <c r="G3" s="111" t="n">
        <v>1</v>
      </c>
      <c r="H3" s="112">
        <f>E3/F3/G3</f>
        <v/>
      </c>
      <c r="I3" s="82" t="n">
        <v>30</v>
      </c>
      <c r="J3" s="112">
        <f>H3*I3</f>
        <v/>
      </c>
      <c r="K3" s="82" t="n"/>
    </row>
    <row r="4" ht="15.6" customHeight="1" s="170">
      <c r="A4" s="173" t="n"/>
      <c r="B4" s="81" t="inlineStr">
        <is>
          <t>水</t>
        </is>
      </c>
      <c r="C4" s="82">
        <f>VLOOKUP(B4,原材料价格表!$B$2:$G$436,2,0)</f>
        <v/>
      </c>
      <c r="D4" s="82">
        <f>VLOOKUP(B4,原材料价格表!$B$2:$G$436,4,0)</f>
        <v/>
      </c>
      <c r="E4" s="110">
        <f>VLOOKUP(B4,原材料价格表!$B$2:$G$436,6,0)</f>
        <v/>
      </c>
      <c r="F4" s="82">
        <f>VLOOKUP(B4,原材料价格表!$B$2:$G$436,5,0)</f>
        <v/>
      </c>
      <c r="G4" s="111" t="n">
        <v>1</v>
      </c>
      <c r="H4" s="112">
        <f>E4/F4/G4</f>
        <v/>
      </c>
      <c r="I4" s="82" t="n">
        <v>700</v>
      </c>
      <c r="J4" s="112">
        <f>H4*I4</f>
        <v/>
      </c>
      <c r="K4" s="82" t="n"/>
    </row>
    <row r="5" ht="15.6" customHeight="1" s="170">
      <c r="A5" s="173" t="n"/>
      <c r="B5" s="81" t="inlineStr">
        <is>
          <t>冰块</t>
        </is>
      </c>
      <c r="C5" s="82">
        <f>VLOOKUP(B5,原材料价格表!$B$2:$G$436,2,0)</f>
        <v/>
      </c>
      <c r="D5" s="82">
        <f>VLOOKUP(B5,原材料价格表!$B$2:$G$436,4,0)</f>
        <v/>
      </c>
      <c r="E5" s="110">
        <f>VLOOKUP(B5,原材料价格表!$B$2:$G$436,6,0)</f>
        <v/>
      </c>
      <c r="F5" s="82">
        <f>VLOOKUP(B5,原材料价格表!$B$2:$G$436,5,0)</f>
        <v/>
      </c>
      <c r="G5" s="111" t="n">
        <v>1</v>
      </c>
      <c r="H5" s="112">
        <f>E5/F5/G5</f>
        <v/>
      </c>
      <c r="I5" s="82" t="n">
        <v>50</v>
      </c>
      <c r="J5" s="112">
        <f>H5*I5</f>
        <v/>
      </c>
      <c r="K5" s="82" t="n"/>
    </row>
    <row r="6" ht="15.6" customHeight="1" s="170">
      <c r="A6" s="173" t="n"/>
      <c r="B6" s="81" t="inlineStr">
        <is>
          <t>冰块</t>
        </is>
      </c>
      <c r="C6" s="82">
        <f>VLOOKUP(B6,原材料价格表!$B$2:$G$436,2,0)</f>
        <v/>
      </c>
      <c r="D6" s="82">
        <f>VLOOKUP(B6,原材料价格表!$B$2:$G$436,4,0)</f>
        <v/>
      </c>
      <c r="E6" s="110">
        <f>VLOOKUP(B6,原材料价格表!$B$2:$G$436,6,0)</f>
        <v/>
      </c>
      <c r="F6" s="82">
        <f>VLOOKUP(B6,原材料价格表!$B$2:$G$436,5,0)</f>
        <v/>
      </c>
      <c r="G6" s="111" t="n">
        <v>1</v>
      </c>
      <c r="H6" s="112">
        <f>E6/F6/G6</f>
        <v/>
      </c>
      <c r="I6" s="82" t="n">
        <v>500</v>
      </c>
      <c r="J6" s="112">
        <f>H6*I6</f>
        <v/>
      </c>
      <c r="K6" s="82" t="n"/>
    </row>
    <row r="7" ht="18" customHeight="1" s="170">
      <c r="A7" s="174" t="n"/>
      <c r="B7" s="84" t="inlineStr">
        <is>
          <t>售价</t>
        </is>
      </c>
      <c r="C7" s="177" t="n"/>
      <c r="D7" s="84" t="inlineStr">
        <is>
          <t>售卖份量/g</t>
        </is>
      </c>
      <c r="E7" s="113">
        <f>SUM(I3:I6)-30</f>
        <v/>
      </c>
      <c r="F7" s="83" t="inlineStr">
        <is>
          <t>总成本（元）</t>
        </is>
      </c>
      <c r="G7" s="178">
        <f>SUM(J3:J6)</f>
        <v/>
      </c>
      <c r="H7" s="115" t="inlineStr">
        <is>
          <t>毛利/元</t>
        </is>
      </c>
      <c r="I7" s="115">
        <f>C7-G7</f>
        <v/>
      </c>
      <c r="J7" s="115" t="inlineStr">
        <is>
          <t>毛利率</t>
        </is>
      </c>
      <c r="K7" s="143">
        <f>I7/C7</f>
        <v/>
      </c>
    </row>
    <row r="8" ht="15.6" customHeight="1" s="170">
      <c r="A8" s="91" t="inlineStr">
        <is>
          <t>野刺梨山茶</t>
        </is>
      </c>
      <c r="B8" s="94" t="inlineStr">
        <is>
          <t>刺梨原浆</t>
        </is>
      </c>
      <c r="C8" s="92">
        <f>VLOOKUP(B8,原材料价格表!$B$2:$G$436,2,0)</f>
        <v/>
      </c>
      <c r="D8" s="92">
        <f>VLOOKUP(B8,原材料价格表!$B$2:$G$436,4,0)</f>
        <v/>
      </c>
      <c r="E8" s="122">
        <f>VLOOKUP(B8,原材料价格表!$B$2:$G$436,6,0)</f>
        <v/>
      </c>
      <c r="F8" s="92">
        <f>VLOOKUP(B8,原材料价格表!$B$2:$G$436,5,0)</f>
        <v/>
      </c>
      <c r="G8" s="123" t="n">
        <v>1</v>
      </c>
      <c r="H8" s="124">
        <f>E8/F8/G8</f>
        <v/>
      </c>
      <c r="I8" s="92" t="n">
        <v>100</v>
      </c>
      <c r="J8" s="124">
        <f>H8*I8</f>
        <v/>
      </c>
      <c r="K8" s="92" t="n"/>
    </row>
    <row r="9" ht="15.6" customHeight="1" s="170">
      <c r="A9" s="173" t="n"/>
      <c r="B9" s="88" t="inlineStr">
        <is>
          <t>山茶花茶汤</t>
        </is>
      </c>
      <c r="C9" s="92">
        <f>VLOOKUP(B9,原材料价格表!$B$2:$G$436,2,0)</f>
        <v/>
      </c>
      <c r="D9" s="92">
        <f>VLOOKUP(B9,原材料价格表!$B$2:$G$436,4,0)</f>
        <v/>
      </c>
      <c r="E9" s="122">
        <f>VLOOKUP(B9,原材料价格表!$B$2:$G$436,6,0)</f>
        <v/>
      </c>
      <c r="F9" s="92">
        <f>VLOOKUP(B9,原材料价格表!$B$2:$G$436,5,0)</f>
        <v/>
      </c>
      <c r="G9" s="123" t="n">
        <v>1</v>
      </c>
      <c r="H9" s="124">
        <f>E9/F9/G9</f>
        <v/>
      </c>
      <c r="I9" s="92" t="n">
        <v>150</v>
      </c>
      <c r="J9" s="124">
        <f>H9*I9</f>
        <v/>
      </c>
      <c r="K9" s="92" t="n"/>
    </row>
    <row r="10" ht="15.6" customHeight="1" s="170">
      <c r="A10" s="173" t="n"/>
      <c r="B10" s="94" t="inlineStr">
        <is>
          <t>果葡糖浆</t>
        </is>
      </c>
      <c r="C10" s="92">
        <f>VLOOKUP(B10,原材料价格表!$B$2:$G$436,2,0)</f>
        <v/>
      </c>
      <c r="D10" s="92">
        <f>VLOOKUP(B10,原材料价格表!$B$2:$G$436,4,0)</f>
        <v/>
      </c>
      <c r="E10" s="122">
        <f>VLOOKUP(B10,原材料价格表!$B$2:$G$436,6,0)</f>
        <v/>
      </c>
      <c r="F10" s="92">
        <f>VLOOKUP(B10,原材料价格表!$B$2:$G$436,5,0)</f>
        <v/>
      </c>
      <c r="G10" s="123" t="n">
        <v>1</v>
      </c>
      <c r="H10" s="124">
        <f>E10/F10/G10</f>
        <v/>
      </c>
      <c r="I10" s="92" t="n">
        <v>50</v>
      </c>
      <c r="J10" s="124">
        <f>H10*I10</f>
        <v/>
      </c>
      <c r="K10" s="92" t="n"/>
    </row>
    <row r="11" ht="15.6" customHeight="1" s="170">
      <c r="A11" s="173" t="n"/>
      <c r="B11" s="94" t="inlineStr">
        <is>
          <t>冰块</t>
        </is>
      </c>
      <c r="C11" s="92">
        <f>VLOOKUP(B11,原材料价格表!$B$2:$G$436,2,0)</f>
        <v/>
      </c>
      <c r="D11" s="92">
        <f>VLOOKUP(B11,原材料价格表!$B$2:$G$436,4,0)</f>
        <v/>
      </c>
      <c r="E11" s="122">
        <f>VLOOKUP(B11,原材料价格表!$B$2:$G$436,6,0)</f>
        <v/>
      </c>
      <c r="F11" s="92">
        <f>VLOOKUP(B11,原材料价格表!$B$2:$G$436,5,0)</f>
        <v/>
      </c>
      <c r="G11" s="123" t="n">
        <v>1</v>
      </c>
      <c r="H11" s="124">
        <f>E11/F11/G11</f>
        <v/>
      </c>
      <c r="I11" s="92" t="n">
        <v>200</v>
      </c>
      <c r="J11" s="124">
        <f>H11*I11</f>
        <v/>
      </c>
      <c r="K11" s="92" t="n"/>
    </row>
    <row r="12" ht="15.6" customHeight="1" s="170">
      <c r="A12" s="173" t="n"/>
      <c r="B12" s="94" t="inlineStr">
        <is>
          <t>刺梨果干</t>
        </is>
      </c>
      <c r="C12" s="92">
        <f>VLOOKUP(B12,原材料价格表!$B$2:$G$436,2,0)</f>
        <v/>
      </c>
      <c r="D12" s="92">
        <f>VLOOKUP(B12,原材料价格表!$B$2:$G$436,4,0)</f>
        <v/>
      </c>
      <c r="E12" s="122">
        <f>VLOOKUP(B12,原材料价格表!$B$2:$G$436,6,0)</f>
        <v/>
      </c>
      <c r="F12" s="92">
        <f>VLOOKUP(B12,原材料价格表!$B$2:$G$436,5,0)</f>
        <v/>
      </c>
      <c r="G12" s="123" t="n">
        <v>1</v>
      </c>
      <c r="H12" s="124">
        <f>E12/F12/G12</f>
        <v/>
      </c>
      <c r="I12" s="92" t="n">
        <v>30</v>
      </c>
      <c r="J12" s="124">
        <f>H12*I12</f>
        <v/>
      </c>
      <c r="K12" s="92" t="n"/>
    </row>
    <row r="13" ht="18" customHeight="1" s="170">
      <c r="A13" s="174" t="n"/>
      <c r="B13" s="95" t="inlineStr">
        <is>
          <t>售价</t>
        </is>
      </c>
      <c r="C13" s="175" t="n">
        <v>18</v>
      </c>
      <c r="D13" s="95" t="inlineStr">
        <is>
          <t>售卖份量/g</t>
        </is>
      </c>
      <c r="E13" s="125">
        <f>SUM(I8:I12)</f>
        <v/>
      </c>
      <c r="F13" s="93" t="inlineStr">
        <is>
          <t>总成本（元）</t>
        </is>
      </c>
      <c r="G13" s="176">
        <f>SUM(J8:J12)</f>
        <v/>
      </c>
      <c r="H13" s="127" t="inlineStr">
        <is>
          <t>毛利/元</t>
        </is>
      </c>
      <c r="I13" s="127">
        <f>C13-G13</f>
        <v/>
      </c>
      <c r="J13" s="127" t="inlineStr">
        <is>
          <t>毛利率</t>
        </is>
      </c>
      <c r="K13" s="145">
        <f>I13/C13</f>
        <v/>
      </c>
    </row>
    <row r="14" ht="15.6" customHeight="1" s="170">
      <c r="A14" s="80" t="inlineStr">
        <is>
          <t>五指毛桃茶汤（半成品）</t>
        </is>
      </c>
      <c r="B14" s="81" t="inlineStr">
        <is>
          <t>五指毛桃茶包</t>
        </is>
      </c>
      <c r="C14" s="82">
        <f>VLOOKUP(B14,原材料价格表!$B$2:$G$436,2,0)</f>
        <v/>
      </c>
      <c r="D14" s="82">
        <f>VLOOKUP(B14,原材料价格表!$B$2:$G$436,3,0)</f>
        <v/>
      </c>
      <c r="E14" s="110">
        <f>VLOOKUP(B14,原材料价格表!$B$2:$G$436,6,0)</f>
        <v/>
      </c>
      <c r="F14" s="82">
        <f>VLOOKUP(B14,原材料价格表!$B$2:$G$436,5,0)</f>
        <v/>
      </c>
      <c r="G14" s="111" t="n">
        <v>1</v>
      </c>
      <c r="H14" s="112">
        <f>E14/F14/G14</f>
        <v/>
      </c>
      <c r="I14" s="82" t="n">
        <v>2</v>
      </c>
      <c r="J14" s="112">
        <f>H14*I14</f>
        <v/>
      </c>
      <c r="K14" s="82" t="n"/>
    </row>
    <row r="15" ht="15.6" customHeight="1" s="170">
      <c r="A15" s="173" t="n"/>
      <c r="B15" s="81" t="inlineStr">
        <is>
          <t>水</t>
        </is>
      </c>
      <c r="C15" s="82">
        <f>VLOOKUP(B15,原材料价格表!$B$2:$G$436,2,0)</f>
        <v/>
      </c>
      <c r="D15" s="82">
        <f>VLOOKUP(B15,原材料价格表!$B$2:$G$436,3,0)</f>
        <v/>
      </c>
      <c r="E15" s="110">
        <f>VLOOKUP(B15,原材料价格表!$B$2:$G$436,6,0)</f>
        <v/>
      </c>
      <c r="F15" s="82">
        <f>VLOOKUP(B15,原材料价格表!$B$2:$G$436,5,0)</f>
        <v/>
      </c>
      <c r="G15" s="111" t="n">
        <v>1</v>
      </c>
      <c r="H15" s="112">
        <f>E15/F15/G15</f>
        <v/>
      </c>
      <c r="I15" s="82" t="n">
        <v>1000</v>
      </c>
      <c r="J15" s="112">
        <f>H15*I15</f>
        <v/>
      </c>
      <c r="K15" s="82" t="n"/>
    </row>
    <row r="16" ht="15.6" customHeight="1" s="170">
      <c r="A16" s="173" t="n"/>
      <c r="B16" s="81" t="inlineStr">
        <is>
          <t>果葡糖浆</t>
        </is>
      </c>
      <c r="C16" s="82">
        <f>VLOOKUP(B16,原材料价格表!$B$2:$G$436,2,0)</f>
        <v/>
      </c>
      <c r="D16" s="82">
        <f>VLOOKUP(B16,原材料价格表!$B$2:$G$436,3,0)</f>
        <v/>
      </c>
      <c r="E16" s="110">
        <f>VLOOKUP(B16,原材料价格表!$B$2:$G$436,6,0)</f>
        <v/>
      </c>
      <c r="F16" s="82">
        <f>VLOOKUP(B16,原材料价格表!$B$2:$G$436,5,0)</f>
        <v/>
      </c>
      <c r="G16" s="111" t="n">
        <v>1</v>
      </c>
      <c r="H16" s="112">
        <f>E16/F16/G16</f>
        <v/>
      </c>
      <c r="I16" s="82" t="n">
        <v>35</v>
      </c>
      <c r="J16" s="112">
        <f>H16*I16</f>
        <v/>
      </c>
      <c r="K16" s="82" t="n"/>
    </row>
    <row r="17" ht="18" customHeight="1" s="170">
      <c r="A17" s="174" t="n"/>
      <c r="B17" s="84" t="inlineStr">
        <is>
          <t>售价</t>
        </is>
      </c>
      <c r="C17" s="177" t="n"/>
      <c r="D17" s="84" t="inlineStr">
        <is>
          <t>售卖份量/g</t>
        </is>
      </c>
      <c r="E17" s="113">
        <f>SUM(I14:I16)-2</f>
        <v/>
      </c>
      <c r="F17" s="83" t="inlineStr">
        <is>
          <t>总成本（元）</t>
        </is>
      </c>
      <c r="G17" s="178">
        <f>SUM(J14:J16)</f>
        <v/>
      </c>
      <c r="H17" s="115" t="inlineStr">
        <is>
          <t>毛利/元</t>
        </is>
      </c>
      <c r="I17" s="115">
        <f>C17-G17</f>
        <v/>
      </c>
      <c r="J17" s="115" t="inlineStr">
        <is>
          <t>毛利率</t>
        </is>
      </c>
      <c r="K17" s="143">
        <f>I17/C17</f>
        <v/>
      </c>
    </row>
    <row r="18" ht="15.6" customHeight="1" s="170">
      <c r="A18" s="91" t="inlineStr">
        <is>
          <t>五指毛桃山茶</t>
        </is>
      </c>
      <c r="B18" s="88" t="inlineStr">
        <is>
          <t>五指毛桃茶汤</t>
        </is>
      </c>
      <c r="C18" s="92">
        <f>VLOOKUP(B18,原材料价格表!$B$2:$G$436,2,0)</f>
        <v/>
      </c>
      <c r="D18" s="92">
        <f>VLOOKUP(B18,原材料价格表!$B$2:$G$436,3,0)</f>
        <v/>
      </c>
      <c r="E18" s="122">
        <f>VLOOKUP(B18,原材料价格表!$B$2:$G$436,6,0)</f>
        <v/>
      </c>
      <c r="F18" s="92">
        <f>VLOOKUP(B18,原材料价格表!$B$2:$G$436,5,0)</f>
        <v/>
      </c>
      <c r="G18" s="123" t="n">
        <v>1</v>
      </c>
      <c r="H18" s="124">
        <f>E18/F18/G18</f>
        <v/>
      </c>
      <c r="I18" s="92" t="n">
        <v>200</v>
      </c>
      <c r="J18" s="124">
        <f>H18*I18</f>
        <v/>
      </c>
      <c r="K18" s="92" t="n"/>
    </row>
    <row r="19" ht="15.6" customHeight="1" s="170">
      <c r="A19" s="173" t="n"/>
      <c r="B19" s="94" t="inlineStr">
        <is>
          <t>薏仁罐头</t>
        </is>
      </c>
      <c r="C19" s="92">
        <f>VLOOKUP(B19,原材料价格表!$B$2:$G$436,2,0)</f>
        <v/>
      </c>
      <c r="D19" s="92">
        <f>VLOOKUP(B19,原材料价格表!$B$2:$G$436,3,0)</f>
        <v/>
      </c>
      <c r="E19" s="122">
        <f>VLOOKUP(B19,原材料价格表!$B$2:$G$436,6,0)</f>
        <v/>
      </c>
      <c r="F19" s="92">
        <f>VLOOKUP(B19,原材料价格表!$B$2:$G$436,5,0)</f>
        <v/>
      </c>
      <c r="G19" s="123" t="n">
        <v>1</v>
      </c>
      <c r="H19" s="124">
        <f>E19/F19/G19</f>
        <v/>
      </c>
      <c r="I19" s="92" t="n">
        <v>40</v>
      </c>
      <c r="J19" s="124">
        <f>H19*I19</f>
        <v/>
      </c>
      <c r="K19" s="92" t="n"/>
    </row>
    <row r="20" ht="15.6" customHeight="1" s="170">
      <c r="A20" s="173" t="n"/>
      <c r="B20" s="94" t="inlineStr">
        <is>
          <t>果葡糖浆</t>
        </is>
      </c>
      <c r="C20" s="92">
        <f>VLOOKUP(B20,原材料价格表!$B$2:$G$436,2,0)</f>
        <v/>
      </c>
      <c r="D20" s="92">
        <f>VLOOKUP(B20,原材料价格表!$B$2:$G$436,3,0)</f>
        <v/>
      </c>
      <c r="E20" s="122">
        <f>VLOOKUP(B20,原材料价格表!$B$2:$G$436,6,0)</f>
        <v/>
      </c>
      <c r="F20" s="92">
        <f>VLOOKUP(B20,原材料价格表!$B$2:$G$436,5,0)</f>
        <v/>
      </c>
      <c r="G20" s="123" t="n">
        <v>1</v>
      </c>
      <c r="H20" s="124">
        <f>E20/F20/G20</f>
        <v/>
      </c>
      <c r="I20" s="92" t="n">
        <v>10</v>
      </c>
      <c r="J20" s="124">
        <f>H20*I20</f>
        <v/>
      </c>
      <c r="K20" s="92" t="n"/>
    </row>
    <row r="21" ht="15.6" customHeight="1" s="170">
      <c r="A21" s="173" t="n"/>
      <c r="B21" s="94" t="inlineStr">
        <is>
          <t>冰块</t>
        </is>
      </c>
      <c r="C21" s="92">
        <f>VLOOKUP(B21,原材料价格表!$B$2:$G$436,2,0)</f>
        <v/>
      </c>
      <c r="D21" s="92">
        <f>VLOOKUP(B21,原材料价格表!$B$2:$G$436,3,0)</f>
        <v/>
      </c>
      <c r="E21" s="122">
        <f>VLOOKUP(B21,原材料价格表!$B$2:$G$436,6,0)</f>
        <v/>
      </c>
      <c r="F21" s="92">
        <f>VLOOKUP(B21,原材料价格表!$B$2:$G$436,5,0)</f>
        <v/>
      </c>
      <c r="G21" s="123" t="n">
        <v>1</v>
      </c>
      <c r="H21" s="124">
        <f>E21/F21/G21</f>
        <v/>
      </c>
      <c r="I21" s="92" t="n">
        <v>250</v>
      </c>
      <c r="J21" s="124">
        <f>H21*I21</f>
        <v/>
      </c>
      <c r="K21" s="92" t="n"/>
    </row>
    <row r="22" ht="15.6" customHeight="1" s="170">
      <c r="A22" s="173" t="n"/>
      <c r="B22" s="94" t="inlineStr">
        <is>
          <t>五指毛桃干</t>
        </is>
      </c>
      <c r="C22" s="92">
        <f>VLOOKUP(B22,原材料价格表!$B$2:$G$436,2,0)</f>
        <v/>
      </c>
      <c r="D22" s="92">
        <f>VLOOKUP(B22,原材料价格表!$B$2:$G$436,3,0)</f>
        <v/>
      </c>
      <c r="E22" s="122">
        <f>VLOOKUP(B22,原材料价格表!$B$2:$G$436,6,0)</f>
        <v/>
      </c>
      <c r="F22" s="92">
        <f>VLOOKUP(B22,原材料价格表!$B$2:$G$436,5,0)</f>
        <v/>
      </c>
      <c r="G22" s="123" t="n">
        <v>1</v>
      </c>
      <c r="H22" s="124">
        <f>E22/F22/G22</f>
        <v/>
      </c>
      <c r="I22" s="92" t="n">
        <v>10</v>
      </c>
      <c r="J22" s="124">
        <f>H22*I22</f>
        <v/>
      </c>
      <c r="K22" s="92" t="n"/>
    </row>
    <row r="23" ht="18" customHeight="1" s="170">
      <c r="A23" s="174" t="n"/>
      <c r="B23" s="95" t="inlineStr">
        <is>
          <t>售价</t>
        </is>
      </c>
      <c r="C23" s="175" t="n">
        <v>18</v>
      </c>
      <c r="D23" s="95" t="inlineStr">
        <is>
          <t>售卖份量/g</t>
        </is>
      </c>
      <c r="E23" s="125">
        <f>SUM(I18:I22)</f>
        <v/>
      </c>
      <c r="F23" s="93" t="inlineStr">
        <is>
          <t>总成本（元）</t>
        </is>
      </c>
      <c r="G23" s="176">
        <f>SUM(J18:J22)</f>
        <v/>
      </c>
      <c r="H23" s="127" t="inlineStr">
        <is>
          <t>毛利/元</t>
        </is>
      </c>
      <c r="I23" s="127">
        <f>C23-G23</f>
        <v/>
      </c>
      <c r="J23" s="127" t="inlineStr">
        <is>
          <t>毛利率</t>
        </is>
      </c>
      <c r="K23" s="145">
        <f>I23/C23</f>
        <v/>
      </c>
    </row>
    <row r="24" ht="15.6" customHeight="1" s="170">
      <c r="A24" s="80" t="inlineStr">
        <is>
          <t>鸭屎香乌龙茶汤（半成品）</t>
        </is>
      </c>
      <c r="B24" s="81" t="inlineStr">
        <is>
          <t>鸭屎香乌龙茶茶叶</t>
        </is>
      </c>
      <c r="C24" s="82">
        <f>VLOOKUP(B24,原材料价格表!$B$2:$G$436,2,0)</f>
        <v/>
      </c>
      <c r="D24" s="82">
        <f>VLOOKUP(B24,原材料价格表!$B$2:$G$436,4,0)</f>
        <v/>
      </c>
      <c r="E24" s="110">
        <f>VLOOKUP(B24,原材料价格表!$B$2:$G$436,6,0)</f>
        <v/>
      </c>
      <c r="F24" s="82">
        <f>VLOOKUP(B24,原材料价格表!$B$2:$G$436,5,0)</f>
        <v/>
      </c>
      <c r="G24" s="111" t="n">
        <v>1</v>
      </c>
      <c r="H24" s="112">
        <f>E24/F24/G24</f>
        <v/>
      </c>
      <c r="I24" s="82" t="n">
        <v>30</v>
      </c>
      <c r="J24" s="112">
        <f>H24*I24</f>
        <v/>
      </c>
      <c r="K24" s="82" t="n"/>
    </row>
    <row r="25" ht="15.6" customHeight="1" s="170">
      <c r="A25" s="173" t="n"/>
      <c r="B25" s="81" t="inlineStr">
        <is>
          <t>水</t>
        </is>
      </c>
      <c r="C25" s="82">
        <f>VLOOKUP(B25,原材料价格表!$B$2:$G$436,2,0)</f>
        <v/>
      </c>
      <c r="D25" s="82">
        <f>VLOOKUP(B25,原材料价格表!$B$2:$G$436,4,0)</f>
        <v/>
      </c>
      <c r="E25" s="110">
        <f>VLOOKUP(B25,原材料价格表!$B$2:$G$436,6,0)</f>
        <v/>
      </c>
      <c r="F25" s="82">
        <f>VLOOKUP(B25,原材料价格表!$B$2:$G$436,5,0)</f>
        <v/>
      </c>
      <c r="G25" s="111" t="n">
        <v>1</v>
      </c>
      <c r="H25" s="112">
        <f>E25/F25/G25</f>
        <v/>
      </c>
      <c r="I25" s="82" t="n">
        <v>1800</v>
      </c>
      <c r="J25" s="112">
        <f>H25*I25</f>
        <v/>
      </c>
      <c r="K25" s="82" t="n"/>
    </row>
    <row r="26" ht="18" customHeight="1" s="170">
      <c r="A26" s="174" t="n"/>
      <c r="B26" s="84" t="inlineStr">
        <is>
          <t>售价</t>
        </is>
      </c>
      <c r="C26" s="177" t="n"/>
      <c r="D26" s="84" t="inlineStr">
        <is>
          <t>售卖份量/g</t>
        </is>
      </c>
      <c r="E26" s="113">
        <f>SUM(I24:I25)-30</f>
        <v/>
      </c>
      <c r="F26" s="83" t="inlineStr">
        <is>
          <t>总成本（元）</t>
        </is>
      </c>
      <c r="G26" s="178">
        <f>SUM(J24:J25)</f>
        <v/>
      </c>
      <c r="H26" s="115" t="inlineStr">
        <is>
          <t>毛利/元</t>
        </is>
      </c>
      <c r="I26" s="115">
        <f>C26-G26</f>
        <v/>
      </c>
      <c r="J26" s="115" t="inlineStr">
        <is>
          <t>毛利率</t>
        </is>
      </c>
      <c r="K26" s="143">
        <f>I26/C26</f>
        <v/>
      </c>
    </row>
    <row r="27" ht="15.6" customHeight="1" s="170">
      <c r="A27" s="91" t="inlineStr">
        <is>
          <t>柠檬山茶</t>
        </is>
      </c>
      <c r="B27" s="94" t="inlineStr">
        <is>
          <t>香水柠檬</t>
        </is>
      </c>
      <c r="C27" s="92">
        <f>VLOOKUP(B27,原材料价格表!$B$2:$G$436,2,0)</f>
        <v/>
      </c>
      <c r="D27" s="92">
        <f>VLOOKUP(B27,原材料价格表!$B$2:$G$436,4,0)</f>
        <v/>
      </c>
      <c r="E27" s="122">
        <f>VLOOKUP(B27,原材料价格表!$B$2:$G$436,6,0)</f>
        <v/>
      </c>
      <c r="F27" s="92">
        <f>VLOOKUP(B27,原材料价格表!$B$2:$G$436,5,0)</f>
        <v/>
      </c>
      <c r="G27" s="123" t="n">
        <v>0.85</v>
      </c>
      <c r="H27" s="124">
        <f>E27/F27/G27</f>
        <v/>
      </c>
      <c r="I27" s="92" t="n">
        <v>30</v>
      </c>
      <c r="J27" s="124">
        <f>H27*I27</f>
        <v/>
      </c>
      <c r="K27" s="92" t="n"/>
    </row>
    <row r="28" ht="15.6" customHeight="1" s="170">
      <c r="A28" s="173" t="n"/>
      <c r="B28" s="88" t="inlineStr">
        <is>
          <t>鸭屎香乌龙茶汤</t>
        </is>
      </c>
      <c r="C28" s="92">
        <f>VLOOKUP(B28,原材料价格表!$B$2:$G$436,2,0)</f>
        <v/>
      </c>
      <c r="D28" s="92">
        <f>VLOOKUP(B28,原材料价格表!$B$2:$G$436,4,0)</f>
        <v/>
      </c>
      <c r="E28" s="122">
        <f>VLOOKUP(B28,原材料价格表!$B$2:$G$436,6,0)</f>
        <v/>
      </c>
      <c r="F28" s="92">
        <f>VLOOKUP(B28,原材料价格表!$B$2:$G$436,5,0)</f>
        <v/>
      </c>
      <c r="G28" s="123" t="n">
        <v>1</v>
      </c>
      <c r="H28" s="124">
        <f>E28/F28/G28</f>
        <v/>
      </c>
      <c r="I28" s="92" t="n">
        <v>200</v>
      </c>
      <c r="J28" s="124">
        <f>H28*I28</f>
        <v/>
      </c>
      <c r="K28" s="92" t="n"/>
    </row>
    <row r="29" ht="15.6" customHeight="1" s="170">
      <c r="A29" s="173" t="n"/>
      <c r="B29" s="94" t="inlineStr">
        <is>
          <t>果葡糖浆</t>
        </is>
      </c>
      <c r="C29" s="92">
        <f>VLOOKUP(B29,原材料价格表!$B$2:$G$436,2,0)</f>
        <v/>
      </c>
      <c r="D29" s="92">
        <f>VLOOKUP(B29,原材料价格表!$B$2:$G$436,4,0)</f>
        <v/>
      </c>
      <c r="E29" s="122">
        <f>VLOOKUP(B29,原材料价格表!$B$2:$G$436,6,0)</f>
        <v/>
      </c>
      <c r="F29" s="92">
        <f>VLOOKUP(B29,原材料价格表!$B$2:$G$436,5,0)</f>
        <v/>
      </c>
      <c r="G29" s="123" t="n">
        <v>1</v>
      </c>
      <c r="H29" s="124">
        <f>E29/F29/G29</f>
        <v/>
      </c>
      <c r="I29" s="92" t="n">
        <v>40</v>
      </c>
      <c r="J29" s="124">
        <f>H29*I29</f>
        <v/>
      </c>
      <c r="K29" s="92" t="n"/>
    </row>
    <row r="30" ht="15.6" customHeight="1" s="170">
      <c r="A30" s="173" t="n"/>
      <c r="B30" s="94" t="inlineStr">
        <is>
          <t>香水柠檬</t>
        </is>
      </c>
      <c r="C30" s="92">
        <f>VLOOKUP(B30,原材料价格表!$B$2:$G$436,2,0)</f>
        <v/>
      </c>
      <c r="D30" s="92">
        <f>VLOOKUP(B30,原材料价格表!$B$2:$G$436,4,0)</f>
        <v/>
      </c>
      <c r="E30" s="122">
        <f>VLOOKUP(B30,原材料价格表!$B$2:$G$436,6,0)</f>
        <v/>
      </c>
      <c r="F30" s="92">
        <f>VLOOKUP(B30,原材料价格表!$B$2:$G$436,5,0)</f>
        <v/>
      </c>
      <c r="G30" s="123" t="n">
        <v>0.85</v>
      </c>
      <c r="H30" s="124">
        <f>E30/F30/G30</f>
        <v/>
      </c>
      <c r="I30" s="92" t="n">
        <v>30</v>
      </c>
      <c r="J30" s="124">
        <f>H30*I30</f>
        <v/>
      </c>
      <c r="K30" s="92" t="n"/>
    </row>
    <row r="31" ht="15.6" customHeight="1" s="170">
      <c r="A31" s="173" t="n"/>
      <c r="B31" s="94" t="inlineStr">
        <is>
          <t>黄柠檬</t>
        </is>
      </c>
      <c r="C31" s="92">
        <f>VLOOKUP(B31,原材料价格表!$B$2:$G$436,2,0)</f>
        <v/>
      </c>
      <c r="D31" s="92">
        <f>VLOOKUP(B31,原材料价格表!$B$2:$G$436,4,0)</f>
        <v/>
      </c>
      <c r="E31" s="122">
        <f>VLOOKUP(B31,原材料价格表!$B$2:$G$436,6,0)</f>
        <v/>
      </c>
      <c r="F31" s="92">
        <f>VLOOKUP(B31,原材料价格表!$B$2:$G$436,5,0)</f>
        <v/>
      </c>
      <c r="G31" s="123" t="n">
        <v>0.85</v>
      </c>
      <c r="H31" s="124">
        <f>E31/F31/G31</f>
        <v/>
      </c>
      <c r="I31" s="92" t="n">
        <v>15</v>
      </c>
      <c r="J31" s="124">
        <f>H31*I31</f>
        <v/>
      </c>
      <c r="K31" s="92" t="n"/>
    </row>
    <row r="32" ht="18" customHeight="1" s="170">
      <c r="A32" s="174" t="n"/>
      <c r="B32" s="95" t="inlineStr">
        <is>
          <t>售价</t>
        </is>
      </c>
      <c r="C32" s="175" t="n">
        <v>18</v>
      </c>
      <c r="D32" s="95" t="inlineStr">
        <is>
          <t>售卖份量/g</t>
        </is>
      </c>
      <c r="E32" s="125">
        <f>SUM(I27:I31)</f>
        <v/>
      </c>
      <c r="F32" s="93" t="inlineStr">
        <is>
          <t>总成本（元）</t>
        </is>
      </c>
      <c r="G32" s="176">
        <f>SUM(J27:J31)</f>
        <v/>
      </c>
      <c r="H32" s="127" t="inlineStr">
        <is>
          <t>毛利/元</t>
        </is>
      </c>
      <c r="I32" s="127">
        <f>C32-G32</f>
        <v/>
      </c>
      <c r="J32" s="127" t="inlineStr">
        <is>
          <t>毛利率</t>
        </is>
      </c>
      <c r="K32" s="145">
        <f>I32/C32</f>
        <v/>
      </c>
    </row>
    <row r="33" ht="15.6" customHeight="1" s="170">
      <c r="A33" s="80" t="inlineStr">
        <is>
          <t>雪域藏茶茶汤（半成品）</t>
        </is>
      </c>
      <c r="B33" s="81" t="inlineStr">
        <is>
          <t>雪域藏茶</t>
        </is>
      </c>
      <c r="C33" s="82">
        <f>VLOOKUP(B33,原材料价格表!$B$2:$G$436,2,0)</f>
        <v/>
      </c>
      <c r="D33" s="82">
        <f>VLOOKUP(B33,原材料价格表!$B$2:$G$436,4,0)</f>
        <v/>
      </c>
      <c r="E33" s="110">
        <f>VLOOKUP(B33,原材料价格表!$B$2:$G$436,6,0)</f>
        <v/>
      </c>
      <c r="F33" s="82">
        <f>VLOOKUP(B33,原材料价格表!$B$2:$G$436,5,0)</f>
        <v/>
      </c>
      <c r="G33" s="111" t="n">
        <v>1</v>
      </c>
      <c r="H33" s="112">
        <f>E33/F33/G33</f>
        <v/>
      </c>
      <c r="I33" s="82" t="n">
        <v>50</v>
      </c>
      <c r="J33" s="112">
        <f>H33*I33</f>
        <v/>
      </c>
      <c r="K33" s="82" t="n"/>
    </row>
    <row r="34" ht="15.6" customHeight="1" s="170">
      <c r="A34" s="173" t="n"/>
      <c r="B34" s="81" t="inlineStr">
        <is>
          <t>水</t>
        </is>
      </c>
      <c r="C34" s="82">
        <f>VLOOKUP(B34,原材料价格表!$B$2:$G$436,2,0)</f>
        <v/>
      </c>
      <c r="D34" s="82">
        <f>VLOOKUP(B34,原材料价格表!$B$2:$G$436,4,0)</f>
        <v/>
      </c>
      <c r="E34" s="110">
        <f>VLOOKUP(B34,原材料价格表!$B$2:$G$436,6,0)</f>
        <v/>
      </c>
      <c r="F34" s="82">
        <f>VLOOKUP(B34,原材料价格表!$B$2:$G$436,5,0)</f>
        <v/>
      </c>
      <c r="G34" s="111" t="n">
        <v>1</v>
      </c>
      <c r="H34" s="112">
        <f>E34/F34/G34</f>
        <v/>
      </c>
      <c r="I34" s="82" t="n">
        <v>1500</v>
      </c>
      <c r="J34" s="112">
        <f>H34*I34</f>
        <v/>
      </c>
      <c r="K34" s="82" t="n"/>
    </row>
    <row r="35" ht="18" customHeight="1" s="170">
      <c r="A35" s="174" t="n"/>
      <c r="B35" s="84" t="inlineStr">
        <is>
          <t>售价</t>
        </is>
      </c>
      <c r="C35" s="177" t="n"/>
      <c r="D35" s="84" t="inlineStr">
        <is>
          <t>售卖份量/g</t>
        </is>
      </c>
      <c r="E35" s="113" t="n">
        <v>1500</v>
      </c>
      <c r="F35" s="83" t="inlineStr">
        <is>
          <t>总成本（元）</t>
        </is>
      </c>
      <c r="G35" s="178">
        <f>SUM(J33:J34)</f>
        <v/>
      </c>
      <c r="H35" s="115" t="inlineStr">
        <is>
          <t>毛利/元</t>
        </is>
      </c>
      <c r="I35" s="115">
        <f>C35-G35</f>
        <v/>
      </c>
      <c r="J35" s="115" t="inlineStr">
        <is>
          <t>毛利率</t>
        </is>
      </c>
      <c r="K35" s="143">
        <f>I35/C35</f>
        <v/>
      </c>
    </row>
    <row r="36" ht="15.6" customHeight="1" s="170">
      <c r="A36" s="91" t="inlineStr">
        <is>
          <t>柠檬藏茶</t>
        </is>
      </c>
      <c r="B36" s="94" t="inlineStr">
        <is>
          <t>香水柠檬</t>
        </is>
      </c>
      <c r="C36" s="92">
        <f>VLOOKUP(B36,原材料价格表!$B$2:$G$436,2,0)</f>
        <v/>
      </c>
      <c r="D36" s="92">
        <f>VLOOKUP(B36,原材料价格表!$B$2:$G$436,4,0)</f>
        <v/>
      </c>
      <c r="E36" s="122">
        <f>VLOOKUP(B36,原材料价格表!$B$2:$G$436,6,0)</f>
        <v/>
      </c>
      <c r="F36" s="92">
        <f>VLOOKUP(B36,原材料价格表!$B$2:$G$436,5,0)</f>
        <v/>
      </c>
      <c r="G36" s="123" t="n">
        <v>0.85</v>
      </c>
      <c r="H36" s="124">
        <f>E36/F36/G36</f>
        <v/>
      </c>
      <c r="I36" s="92" t="n">
        <v>40</v>
      </c>
      <c r="J36" s="124">
        <f>H36*I36</f>
        <v/>
      </c>
      <c r="K36" s="92" t="n"/>
    </row>
    <row r="37" ht="15.6" customHeight="1" s="170">
      <c r="A37" s="173" t="n"/>
      <c r="B37" s="97" t="inlineStr">
        <is>
          <t>蔗糖糖浆</t>
        </is>
      </c>
      <c r="C37" s="92">
        <f>VLOOKUP(B37,原材料价格表!$B$2:$G$436,2,0)</f>
        <v/>
      </c>
      <c r="D37" s="92">
        <f>VLOOKUP(B37,原材料价格表!$B$2:$G$436,4,0)</f>
        <v/>
      </c>
      <c r="E37" s="122">
        <f>VLOOKUP(B37,原材料价格表!$B$2:$G$436,6,0)</f>
        <v/>
      </c>
      <c r="F37" s="92">
        <f>VLOOKUP(B37,原材料价格表!$B$2:$G$436,5,0)</f>
        <v/>
      </c>
      <c r="G37" s="123" t="n">
        <v>1</v>
      </c>
      <c r="H37" s="124">
        <f>E37/F37/G37</f>
        <v/>
      </c>
      <c r="I37" s="92" t="n">
        <v>45</v>
      </c>
      <c r="J37" s="124">
        <f>H37*I37</f>
        <v/>
      </c>
      <c r="K37" s="92" t="n"/>
    </row>
    <row r="38" ht="15.6" customHeight="1" s="170">
      <c r="A38" s="173" t="n"/>
      <c r="B38" s="97" t="inlineStr">
        <is>
          <t>金桔柠檬果蓉</t>
        </is>
      </c>
      <c r="C38" s="92">
        <f>VLOOKUP(B38,原材料价格表!$B$2:$G$436,2,0)</f>
        <v/>
      </c>
      <c r="D38" s="92">
        <f>VLOOKUP(B38,原材料价格表!$B$2:$G$436,4,0)</f>
        <v/>
      </c>
      <c r="E38" s="122">
        <f>VLOOKUP(B38,原材料价格表!$B$2:$G$436,6,0)</f>
        <v/>
      </c>
      <c r="F38" s="92">
        <f>VLOOKUP(B38,原材料价格表!$B$2:$G$436,5,0)</f>
        <v/>
      </c>
      <c r="G38" s="123" t="n">
        <v>1</v>
      </c>
      <c r="H38" s="124">
        <f>E38/F38/G38</f>
        <v/>
      </c>
      <c r="I38" s="92" t="n">
        <v>10</v>
      </c>
      <c r="J38" s="124">
        <f>H38*I38</f>
        <v/>
      </c>
      <c r="K38" s="92" t="n"/>
    </row>
    <row r="39" ht="15.6" customHeight="1" s="170">
      <c r="A39" s="173" t="n"/>
      <c r="B39" s="94" t="inlineStr">
        <is>
          <t>冰块</t>
        </is>
      </c>
      <c r="C39" s="92">
        <f>VLOOKUP(B39,原材料价格表!$B$2:$G$436,2,0)</f>
        <v/>
      </c>
      <c r="D39" s="92">
        <f>VLOOKUP(B39,原材料价格表!$B$2:$G$436,4,0)</f>
        <v/>
      </c>
      <c r="E39" s="122">
        <f>VLOOKUP(B39,原材料价格表!$B$2:$G$436,6,0)</f>
        <v/>
      </c>
      <c r="F39" s="92">
        <f>VLOOKUP(B39,原材料价格表!$B$2:$G$436,5,0)</f>
        <v/>
      </c>
      <c r="G39" s="123" t="n">
        <v>1</v>
      </c>
      <c r="H39" s="124">
        <f>E39/F39/G39</f>
        <v/>
      </c>
      <c r="I39" s="92" t="n">
        <v>500</v>
      </c>
      <c r="J39" s="124">
        <f>H39*I39</f>
        <v/>
      </c>
      <c r="K39" s="92" t="n"/>
    </row>
    <row r="40" ht="15.6" customHeight="1" s="170">
      <c r="A40" s="173" t="n"/>
      <c r="B40" s="88" t="inlineStr">
        <is>
          <t>雪域藏茶茶汤</t>
        </is>
      </c>
      <c r="C40" s="92">
        <f>VLOOKUP(B40,原材料价格表!$B$2:$G$436,2,0)</f>
        <v/>
      </c>
      <c r="D40" s="92">
        <f>VLOOKUP(B40,原材料价格表!$B$2:$G$436,4,0)</f>
        <v/>
      </c>
      <c r="E40" s="122">
        <f>VLOOKUP(B40,原材料价格表!$B$2:$G$436,6,0)</f>
        <v/>
      </c>
      <c r="F40" s="92">
        <f>VLOOKUP(B40,原材料价格表!$B$2:$G$436,5,0)</f>
        <v/>
      </c>
      <c r="G40" s="123" t="n">
        <v>1</v>
      </c>
      <c r="H40" s="124">
        <f>E40/F40/G40</f>
        <v/>
      </c>
      <c r="I40" s="92" t="n">
        <v>200</v>
      </c>
      <c r="J40" s="124">
        <f>H40*I40</f>
        <v/>
      </c>
      <c r="K40" s="92" t="n"/>
    </row>
    <row r="41" ht="18" customHeight="1" s="170">
      <c r="A41" s="174" t="n"/>
      <c r="B41" s="99" t="inlineStr">
        <is>
          <t>售价</t>
        </is>
      </c>
      <c r="C41" s="181" t="n">
        <v>18</v>
      </c>
      <c r="D41" s="99" t="inlineStr">
        <is>
          <t>售卖份量/g</t>
        </is>
      </c>
      <c r="E41" s="128">
        <f>SUM(I36:I40)</f>
        <v/>
      </c>
      <c r="F41" s="98" t="inlineStr">
        <is>
          <t>总成本（元）</t>
        </is>
      </c>
      <c r="G41" s="182">
        <f>SUM(J36:J40)</f>
        <v/>
      </c>
      <c r="H41" s="130" t="inlineStr">
        <is>
          <t>毛利/元</t>
        </is>
      </c>
      <c r="I41" s="130">
        <f>C41-G41</f>
        <v/>
      </c>
      <c r="J41" s="130" t="inlineStr">
        <is>
          <t>毛利率</t>
        </is>
      </c>
      <c r="K41" s="146">
        <f>I41/C41</f>
        <v/>
      </c>
    </row>
    <row r="42" ht="17.6" customFormat="1" customHeight="1" s="77">
      <c r="A42" s="101" t="n"/>
      <c r="B42" s="102" t="n"/>
      <c r="C42" s="183" t="n"/>
      <c r="D42" s="102" t="n"/>
      <c r="E42" s="131" t="n"/>
      <c r="F42" s="132" t="n"/>
      <c r="G42" s="184" t="n"/>
      <c r="H42" s="134" t="n"/>
      <c r="I42" s="134" t="n"/>
      <c r="J42" s="134" t="n"/>
      <c r="K42" s="147" t="n"/>
    </row>
    <row r="43" ht="17.6" customFormat="1" customHeight="1" s="77">
      <c r="A43" s="104" t="n"/>
      <c r="B43" s="105" t="n"/>
      <c r="C43" s="185" t="n"/>
      <c r="D43" s="105" t="n"/>
      <c r="E43" s="135" t="n"/>
      <c r="F43" s="136" t="n"/>
      <c r="G43" s="186" t="n"/>
      <c r="H43" s="138" t="n"/>
      <c r="I43" s="138" t="n"/>
      <c r="J43" s="138" t="n"/>
      <c r="K43" s="148" t="n"/>
    </row>
    <row r="44" ht="15.6" customHeight="1" s="170">
      <c r="A44" s="107" t="inlineStr">
        <is>
          <t>四果汤</t>
        </is>
      </c>
      <c r="B44" s="108" t="inlineStr">
        <is>
          <t>芒果</t>
        </is>
      </c>
      <c r="C44" s="109">
        <f>VLOOKUP(B44,原材料价格表!$B$2:$G$436,2,0)</f>
        <v/>
      </c>
      <c r="D44" s="109">
        <f>VLOOKUP(B44,原材料价格表!$B$2:$G$436,3,0)</f>
        <v/>
      </c>
      <c r="E44" s="139">
        <f>VLOOKUP(B44,原材料价格表!$B$2:$G$436,6,0)</f>
        <v/>
      </c>
      <c r="F44" s="109">
        <f>VLOOKUP(B44,原材料价格表!$B$2:$G$436,5,0)</f>
        <v/>
      </c>
      <c r="G44" s="140" t="n">
        <v>0.55</v>
      </c>
      <c r="H44" s="141">
        <f>E44/F44/G44</f>
        <v/>
      </c>
      <c r="I44" s="109" t="n">
        <v>35</v>
      </c>
      <c r="J44" s="141">
        <f>H44*I44</f>
        <v/>
      </c>
      <c r="K44" s="109" t="n"/>
    </row>
    <row r="45" ht="15.6" customHeight="1" s="170">
      <c r="A45" s="173" t="n"/>
      <c r="B45" s="94" t="inlineStr">
        <is>
          <t>荔枝</t>
        </is>
      </c>
      <c r="C45" s="92">
        <f>VLOOKUP(B45,原材料价格表!$B$2:$G$436,2,0)</f>
        <v/>
      </c>
      <c r="D45" s="92">
        <f>VLOOKUP(B45,原材料价格表!$B$2:$G$436,3,0)</f>
        <v/>
      </c>
      <c r="E45" s="122">
        <f>VLOOKUP(B45,原材料价格表!$B$2:$G$436,6,0)</f>
        <v/>
      </c>
      <c r="F45" s="92">
        <f>VLOOKUP(B45,原材料价格表!$B$2:$G$436,5,0)</f>
        <v/>
      </c>
      <c r="G45" s="123" t="n">
        <v>1</v>
      </c>
      <c r="H45" s="124">
        <f>E45/F45/G45</f>
        <v/>
      </c>
      <c r="I45" s="92" t="n">
        <v>50</v>
      </c>
      <c r="J45" s="124">
        <f>H45*I45</f>
        <v/>
      </c>
      <c r="K45" s="92" t="n"/>
    </row>
    <row r="46" ht="15.6" customHeight="1" s="170">
      <c r="A46" s="173" t="n"/>
      <c r="B46" s="94" t="inlineStr">
        <is>
          <t>莲子罐头</t>
        </is>
      </c>
      <c r="C46" s="94" t="n"/>
      <c r="D46" s="92">
        <f>VLOOKUP(B46,原材料价格表!$B$2:$G$436,3,0)</f>
        <v/>
      </c>
      <c r="E46" s="122">
        <f>VLOOKUP(B46,原材料价格表!$B$2:$G$436,6,0)</f>
        <v/>
      </c>
      <c r="F46" s="92">
        <f>VLOOKUP(B46,原材料价格表!$B$2:$G$436,5,0)</f>
        <v/>
      </c>
      <c r="G46" s="123" t="n">
        <v>1</v>
      </c>
      <c r="H46" s="124">
        <f>E46/F46/G46</f>
        <v/>
      </c>
      <c r="I46" s="92" t="n">
        <v>40</v>
      </c>
      <c r="J46" s="124">
        <f>H46*I46</f>
        <v/>
      </c>
      <c r="K46" s="92" t="n"/>
    </row>
    <row r="47" ht="15.6" customHeight="1" s="170">
      <c r="A47" s="173" t="n"/>
      <c r="B47" s="94" t="inlineStr">
        <is>
          <t>烧仙草罐头</t>
        </is>
      </c>
      <c r="C47" s="92">
        <f>VLOOKUP(B47,原材料价格表!$B$2:$G$436,2,0)</f>
        <v/>
      </c>
      <c r="D47" s="92">
        <f>VLOOKUP(B47,原材料价格表!$B$2:$G$436,3,0)</f>
        <v/>
      </c>
      <c r="E47" s="122">
        <f>VLOOKUP(B47,原材料价格表!$B$2:$G$436,6,0)</f>
        <v/>
      </c>
      <c r="F47" s="92">
        <f>VLOOKUP(B47,原材料价格表!$B$2:$G$436,5,0)</f>
        <v/>
      </c>
      <c r="G47" s="123" t="n">
        <v>1</v>
      </c>
      <c r="H47" s="124">
        <f>E47/F47/G47</f>
        <v/>
      </c>
      <c r="I47" s="92" t="n">
        <v>55</v>
      </c>
      <c r="J47" s="124">
        <f>H47*I47</f>
        <v/>
      </c>
      <c r="K47" s="92" t="n"/>
    </row>
    <row r="48" ht="15.6" customHeight="1" s="170">
      <c r="A48" s="173" t="n"/>
      <c r="B48" s="94" t="inlineStr">
        <is>
          <t>芋泥罐头</t>
        </is>
      </c>
      <c r="C48" s="92">
        <f>VLOOKUP(B48,原材料价格表!$B$2:$G$436,2,0)</f>
        <v/>
      </c>
      <c r="D48" s="92">
        <f>VLOOKUP(B48,原材料价格表!$B$2:$G$436,3,0)</f>
        <v/>
      </c>
      <c r="E48" s="122">
        <f>VLOOKUP(B48,原材料价格表!$B$2:$G$436,6,0)</f>
        <v/>
      </c>
      <c r="F48" s="92">
        <f>VLOOKUP(B48,原材料价格表!$B$2:$G$436,5,0)</f>
        <v/>
      </c>
      <c r="G48" s="123" t="n">
        <v>1</v>
      </c>
      <c r="H48" s="124">
        <f>E48/F48/G48</f>
        <v/>
      </c>
      <c r="I48" s="92" t="n">
        <v>30</v>
      </c>
      <c r="J48" s="124">
        <f>H48*I48</f>
        <v/>
      </c>
      <c r="K48" s="92" t="n"/>
    </row>
    <row r="49" ht="17.6" customHeight="1" s="170">
      <c r="A49" s="173" t="n"/>
      <c r="B49" s="94" t="inlineStr">
        <is>
          <t>糖桂花</t>
        </is>
      </c>
      <c r="C49" s="92">
        <f>VLOOKUP(B49,原材料价格表!$B$2:$G$436,2,0)</f>
        <v/>
      </c>
      <c r="D49" s="92">
        <f>VLOOKUP(B49,原材料价格表!$B$2:$G$436,3,0)</f>
        <v/>
      </c>
      <c r="E49" s="122" t="n">
        <v>20</v>
      </c>
      <c r="F49" s="92">
        <f>VLOOKUP(B49,原材料价格表!$B$2:$G$436,5,0)</f>
        <v/>
      </c>
      <c r="G49" s="123" t="n">
        <v>1</v>
      </c>
      <c r="H49" s="124">
        <f>E49/F49/G49</f>
        <v/>
      </c>
      <c r="I49" s="92" t="n">
        <v>20</v>
      </c>
      <c r="J49" s="124">
        <f>H49*I49</f>
        <v/>
      </c>
      <c r="K49" s="145" t="n"/>
    </row>
    <row r="50" ht="17.6" customHeight="1" s="170">
      <c r="A50" s="173" t="n"/>
      <c r="B50" s="94" t="inlineStr">
        <is>
          <t>海石花</t>
        </is>
      </c>
      <c r="C50" s="92">
        <f>VLOOKUP(B50,原材料价格表!$B$2:$G$436,2,0)</f>
        <v/>
      </c>
      <c r="D50" s="92">
        <f>VLOOKUP(B50,原材料价格表!$B$2:$G$436,3,0)</f>
        <v/>
      </c>
      <c r="E50" s="122">
        <f>VLOOKUP(B50,原材料价格表!$B$2:$G$436,6,0)</f>
        <v/>
      </c>
      <c r="F50" s="92">
        <f>VLOOKUP(B50,原材料价格表!$B$2:$G$436,5,0)</f>
        <v/>
      </c>
      <c r="G50" s="123" t="n">
        <v>1</v>
      </c>
      <c r="H50" s="124">
        <f>E50/F50/G50</f>
        <v/>
      </c>
      <c r="I50" s="92" t="n">
        <v>0.8</v>
      </c>
      <c r="J50" s="124">
        <f>H50*I50</f>
        <v/>
      </c>
      <c r="K50" s="145" t="n"/>
    </row>
    <row r="51" ht="18" customHeight="1" s="170">
      <c r="A51" s="174" t="n"/>
      <c r="B51" s="95" t="inlineStr">
        <is>
          <t>售价</t>
        </is>
      </c>
      <c r="C51" s="175" t="n"/>
      <c r="D51" s="95" t="inlineStr">
        <is>
          <t>售卖份量/g</t>
        </is>
      </c>
      <c r="E51" s="125">
        <f>SUM(I44:I50)</f>
        <v/>
      </c>
      <c r="F51" s="93" t="inlineStr">
        <is>
          <t>总成本（元）</t>
        </is>
      </c>
      <c r="G51" s="176">
        <f>SUM(J44:J50)</f>
        <v/>
      </c>
      <c r="H51" s="127" t="inlineStr">
        <is>
          <t>毛利/元</t>
        </is>
      </c>
      <c r="I51" s="127">
        <f>C51-G51</f>
        <v/>
      </c>
      <c r="J51" s="127" t="inlineStr">
        <is>
          <t>毛利率</t>
        </is>
      </c>
      <c r="K51" s="145">
        <f>I51/C51</f>
        <v/>
      </c>
    </row>
    <row r="52" ht="15.6" customHeight="1" s="170">
      <c r="A52" s="91" t="inlineStr">
        <is>
          <t>千层酥小米渣</t>
        </is>
      </c>
      <c r="B52" s="94" t="inlineStr">
        <is>
          <t>小米渣</t>
        </is>
      </c>
      <c r="C52" s="92">
        <f>VLOOKUP(B52,原材料价格表!$B$2:$G$436,2,0)</f>
        <v/>
      </c>
      <c r="D52" s="92">
        <f>VLOOKUP(B52,原材料价格表!$B$2:$G$436,3,0)</f>
        <v/>
      </c>
      <c r="E52" s="122">
        <f>VLOOKUP(B52,原材料价格表!$B$2:$G$436,6,0)</f>
        <v/>
      </c>
      <c r="F52" s="92">
        <f>VLOOKUP(B52,原材料价格表!$B$2:$G$436,5,0)</f>
        <v/>
      </c>
      <c r="G52" s="123" t="n">
        <v>1</v>
      </c>
      <c r="H52" s="124">
        <f>E52/F52/G52</f>
        <v/>
      </c>
      <c r="I52" s="92" t="n">
        <v>100</v>
      </c>
      <c r="J52" s="124">
        <f>H52*I52</f>
        <v/>
      </c>
      <c r="K52" s="92" t="n"/>
    </row>
    <row r="53" ht="15.6" customHeight="1" s="170">
      <c r="A53" s="173" t="n"/>
      <c r="B53" s="94" t="inlineStr">
        <is>
          <t>斑斓酱</t>
        </is>
      </c>
      <c r="C53" s="92">
        <f>VLOOKUP(B53,原材料价格表!$B$2:$G$436,2,0)</f>
        <v/>
      </c>
      <c r="D53" s="92">
        <f>VLOOKUP(B53,原材料价格表!$B$2:$G$436,3,0)</f>
        <v/>
      </c>
      <c r="E53" s="122">
        <f>VLOOKUP(B53,原材料价格表!$B$2:$G$436,6,0)</f>
        <v/>
      </c>
      <c r="F53" s="92">
        <f>VLOOKUP(B53,原材料价格表!$B$2:$G$436,5,0)</f>
        <v/>
      </c>
      <c r="G53" s="123" t="n">
        <v>1</v>
      </c>
      <c r="H53" s="124">
        <f>E53/F53/G53</f>
        <v/>
      </c>
      <c r="I53" s="92" t="n">
        <v>10</v>
      </c>
      <c r="J53" s="124">
        <f>H53*I53</f>
        <v/>
      </c>
      <c r="K53" s="92" t="n"/>
    </row>
    <row r="54" ht="15.6" customHeight="1" s="170">
      <c r="A54" s="173" t="n"/>
      <c r="B54" s="94" t="inlineStr">
        <is>
          <t>网状春卷皮</t>
        </is>
      </c>
      <c r="C54" s="92">
        <f>VLOOKUP(B54,原材料价格表!$B$2:$G$436,2,0)</f>
        <v/>
      </c>
      <c r="D54" s="92">
        <f>VLOOKUP(B54,原材料价格表!$B$2:$G$436,3,0)</f>
        <v/>
      </c>
      <c r="E54" s="122">
        <f>VLOOKUP(B54,原材料价格表!$B$2:$G$436,6,0)</f>
        <v/>
      </c>
      <c r="F54" s="142">
        <f>VLOOKUP(B54,原材料价格表!$B$2:$G$436,5,0)</f>
        <v/>
      </c>
      <c r="G54" s="123" t="n">
        <v>0.9</v>
      </c>
      <c r="H54" s="124">
        <f>E54/F54/G54</f>
        <v/>
      </c>
      <c r="I54" s="92" t="n">
        <v>30</v>
      </c>
      <c r="J54" s="124">
        <f>H54*I54</f>
        <v/>
      </c>
      <c r="K54" s="92" t="n"/>
    </row>
    <row r="55" ht="15.6" customHeight="1" s="170">
      <c r="A55" s="173" t="n"/>
      <c r="B55" s="94" t="inlineStr">
        <is>
          <t>千丝酥皮</t>
        </is>
      </c>
      <c r="C55" s="92">
        <f>VLOOKUP(B55,原材料价格表!$B$2:$G$436,2,0)</f>
        <v/>
      </c>
      <c r="D55" s="92">
        <f>VLOOKUP(B55,原材料价格表!$B$2:$G$436,3,0)</f>
        <v/>
      </c>
      <c r="E55" s="122">
        <f>VLOOKUP(B55,原材料价格表!$B$2:$G$436,6,0)</f>
        <v/>
      </c>
      <c r="F55" s="92">
        <f>VLOOKUP(B55,原材料价格表!$B$2:$G$436,5,0)</f>
        <v/>
      </c>
      <c r="G55" s="123" t="n">
        <v>1</v>
      </c>
      <c r="H55" s="124">
        <f>E55/F55/G55</f>
        <v/>
      </c>
      <c r="I55" s="92" t="n">
        <v>30</v>
      </c>
      <c r="J55" s="124">
        <f>H55*I55</f>
        <v/>
      </c>
      <c r="K55" s="92" t="n"/>
    </row>
    <row r="56" ht="15.6" customHeight="1" s="170">
      <c r="A56" s="173" t="n"/>
      <c r="B56" s="94" t="inlineStr">
        <is>
          <t>红辣椒丝</t>
        </is>
      </c>
      <c r="C56" s="92">
        <f>VLOOKUP(B56,原材料价格表!$B$2:$G$436,2,0)</f>
        <v/>
      </c>
      <c r="D56" s="92">
        <f>VLOOKUP(B56,原材料价格表!$B$2:$G$436,3,0)</f>
        <v/>
      </c>
      <c r="E56" s="122">
        <f>VLOOKUP(B56,原材料价格表!$B$2:$G$436,6,0)</f>
        <v/>
      </c>
      <c r="F56" s="92">
        <f>VLOOKUP(B56,原材料价格表!$B$2:$G$436,5,0)</f>
        <v/>
      </c>
      <c r="G56" s="123" t="n">
        <v>1</v>
      </c>
      <c r="H56" s="124">
        <f>E56/F56/G56</f>
        <v/>
      </c>
      <c r="I56" s="92" t="n">
        <v>0.2</v>
      </c>
      <c r="J56" s="124">
        <f>H56*I56</f>
        <v/>
      </c>
      <c r="K56" s="92" t="n"/>
    </row>
    <row r="57" ht="18" customHeight="1" s="170">
      <c r="A57" s="174" t="n"/>
      <c r="B57" s="95" t="inlineStr">
        <is>
          <t>售价</t>
        </is>
      </c>
      <c r="C57" s="175" t="n">
        <v>32</v>
      </c>
      <c r="D57" s="95" t="inlineStr">
        <is>
          <t>售卖份量/g</t>
        </is>
      </c>
      <c r="E57" s="125">
        <f>SUM(I52:I55)</f>
        <v/>
      </c>
      <c r="F57" s="93" t="inlineStr">
        <is>
          <t>总成本（元）</t>
        </is>
      </c>
      <c r="G57" s="176">
        <f>SUM(J52:J56)</f>
        <v/>
      </c>
      <c r="H57" s="127" t="inlineStr">
        <is>
          <t>毛利/元</t>
        </is>
      </c>
      <c r="I57" s="127">
        <f>C57-G57</f>
        <v/>
      </c>
      <c r="J57" s="127" t="inlineStr">
        <is>
          <t>毛利率</t>
        </is>
      </c>
      <c r="K57" s="145">
        <f>I57/C57</f>
        <v/>
      </c>
    </row>
    <row r="58" ht="15.6" customHeight="1" s="170">
      <c r="A58" s="91" t="inlineStr">
        <is>
          <t>桂花蜜薯</t>
        </is>
      </c>
      <c r="B58" s="94" t="inlineStr">
        <is>
          <t>蜜薯</t>
        </is>
      </c>
      <c r="C58" s="92">
        <f>VLOOKUP(B58,原材料价格表!$B$2:$G$436,2,0)</f>
        <v/>
      </c>
      <c r="D58" s="92">
        <f>VLOOKUP(B58,原材料价格表!$B$2:$G$436,3,0)</f>
        <v/>
      </c>
      <c r="E58" s="122">
        <f>VLOOKUP(B58,原材料价格表!$B$2:$G$436,6,0)</f>
        <v/>
      </c>
      <c r="F58" s="92">
        <f>VLOOKUP(B58,原材料价格表!$B$2:$G$436,5,0)</f>
        <v/>
      </c>
      <c r="G58" s="123" t="n">
        <v>0.5</v>
      </c>
      <c r="H58" s="124">
        <f>E58/F58/G58</f>
        <v/>
      </c>
      <c r="I58" s="92" t="n">
        <v>100</v>
      </c>
      <c r="J58" s="124">
        <f>H58*I58</f>
        <v/>
      </c>
      <c r="K58" s="92" t="n"/>
    </row>
    <row r="59" ht="15.6" customHeight="1" s="170">
      <c r="A59" s="173" t="n"/>
      <c r="B59" s="94" t="inlineStr">
        <is>
          <t>糖桂花</t>
        </is>
      </c>
      <c r="C59" s="92">
        <f>VLOOKUP(B59,原材料价格表!$B$2:$G$436,2,0)</f>
        <v/>
      </c>
      <c r="D59" s="92">
        <f>VLOOKUP(B59,原材料价格表!$B$2:$G$436,3,0)</f>
        <v/>
      </c>
      <c r="E59" s="122">
        <f>VLOOKUP(B59,原材料价格表!$B$2:$G$436,6,0)</f>
        <v/>
      </c>
      <c r="F59" s="92">
        <f>VLOOKUP(B59,原材料价格表!$B$2:$G$436,5,0)</f>
        <v/>
      </c>
      <c r="G59" s="123" t="n">
        <v>1</v>
      </c>
      <c r="H59" s="124">
        <f>E59/F59/G59</f>
        <v/>
      </c>
      <c r="I59" s="92" t="n">
        <v>40</v>
      </c>
      <c r="J59" s="124">
        <f>H59*I59</f>
        <v/>
      </c>
      <c r="K59" s="92" t="n"/>
    </row>
    <row r="60" ht="15.6" customHeight="1" s="170">
      <c r="A60" s="173" t="n"/>
      <c r="B60" s="94" t="inlineStr">
        <is>
          <t>鲜百合</t>
        </is>
      </c>
      <c r="C60" s="92">
        <f>VLOOKUP(B60,原材料价格表!$B$2:$G$436,2,0)</f>
        <v/>
      </c>
      <c r="D60" s="92">
        <f>VLOOKUP(B60,原材料价格表!$B$2:$G$436,3,0)</f>
        <v/>
      </c>
      <c r="E60" s="122">
        <f>VLOOKUP(B60,原材料价格表!$B$2:$G$436,6,0)</f>
        <v/>
      </c>
      <c r="F60" s="92">
        <f>VLOOKUP(B60,原材料价格表!$B$2:$G$436,5,0)</f>
        <v/>
      </c>
      <c r="G60" s="123" t="n">
        <v>0.9</v>
      </c>
      <c r="H60" s="124">
        <f>E60/F60/G60</f>
        <v/>
      </c>
      <c r="I60" s="92" t="n">
        <v>5</v>
      </c>
      <c r="J60" s="124">
        <f>H60*I60</f>
        <v/>
      </c>
      <c r="K60" s="92" t="n"/>
    </row>
    <row r="61" ht="15.6" customHeight="1" s="170">
      <c r="A61" s="173" t="n"/>
      <c r="B61" s="94" t="inlineStr">
        <is>
          <t>干桂花</t>
        </is>
      </c>
      <c r="C61" s="92">
        <f>VLOOKUP(B61,原材料价格表!$B$2:$G$436,2,0)</f>
        <v/>
      </c>
      <c r="D61" s="92">
        <f>VLOOKUP(B61,原材料价格表!$B$2:$G$436,3,0)</f>
        <v/>
      </c>
      <c r="E61" s="122" t="n"/>
      <c r="F61" s="92">
        <f>VLOOKUP(B61,原材料价格表!$B$2:$G$436,5,0)</f>
        <v/>
      </c>
      <c r="G61" s="123" t="n">
        <v>1</v>
      </c>
      <c r="H61" s="124">
        <f>E61/F61/G61</f>
        <v/>
      </c>
      <c r="I61" s="92" t="n">
        <v>1</v>
      </c>
      <c r="J61" s="124">
        <f>H61*I61</f>
        <v/>
      </c>
      <c r="K61" s="92" t="n"/>
    </row>
    <row r="62" ht="18" customHeight="1" s="170">
      <c r="A62" s="174" t="n"/>
      <c r="B62" s="95" t="inlineStr">
        <is>
          <t>售价</t>
        </is>
      </c>
      <c r="C62" s="175" t="n">
        <v>38</v>
      </c>
      <c r="D62" s="95" t="inlineStr">
        <is>
          <t>售卖份量/g</t>
        </is>
      </c>
      <c r="E62" s="125" t="n">
        <v>145</v>
      </c>
      <c r="F62" s="93" t="inlineStr">
        <is>
          <t>总成本（元）</t>
        </is>
      </c>
      <c r="G62" s="176">
        <f>SUM(J58:J61)</f>
        <v/>
      </c>
      <c r="H62" s="127" t="inlineStr">
        <is>
          <t>毛利/元</t>
        </is>
      </c>
      <c r="I62" s="127">
        <f>C62-G62</f>
        <v/>
      </c>
      <c r="J62" s="127" t="inlineStr">
        <is>
          <t>毛利率</t>
        </is>
      </c>
      <c r="K62" s="145">
        <f>I62/C62</f>
        <v/>
      </c>
    </row>
    <row r="63" ht="15.6" customHeight="1" s="170">
      <c r="A63" s="91" t="inlineStr">
        <is>
          <t>米酿龙眼桂花冰</t>
        </is>
      </c>
      <c r="B63" s="94" t="inlineStr">
        <is>
          <t>冷冻龙眼肉</t>
        </is>
      </c>
      <c r="C63" s="92">
        <f>VLOOKUP(B63,原材料价格表!$B$2:$G$436,2,0)</f>
        <v/>
      </c>
      <c r="D63" s="92">
        <f>VLOOKUP(B63,原材料价格表!$B$2:$G$436,3,0)</f>
        <v/>
      </c>
      <c r="E63" s="122">
        <f>VLOOKUP(B63,原材料价格表!$B$2:$G$436,6,0)</f>
        <v/>
      </c>
      <c r="F63" s="92">
        <f>VLOOKUP(B63,原材料价格表!$B$2:$G$436,5,0)</f>
        <v/>
      </c>
      <c r="G63" s="123" t="n">
        <v>1</v>
      </c>
      <c r="H63" s="124">
        <f>E63/F63/G63</f>
        <v/>
      </c>
      <c r="I63" s="92" t="n">
        <v>50</v>
      </c>
      <c r="J63" s="124">
        <f>H63*I63</f>
        <v/>
      </c>
      <c r="K63" s="92" t="n"/>
    </row>
    <row r="64" ht="15.6" customHeight="1" s="170">
      <c r="A64" s="173" t="n"/>
      <c r="B64" s="94" t="inlineStr">
        <is>
          <t>桂花酒酿</t>
        </is>
      </c>
      <c r="C64" s="92">
        <f>VLOOKUP(B64,原材料价格表!$B$2:$G$436,2,0)</f>
        <v/>
      </c>
      <c r="D64" s="92">
        <f>VLOOKUP(B64,原材料价格表!$B$2:$G$436,3,0)</f>
        <v/>
      </c>
      <c r="E64" s="122">
        <f>VLOOKUP(B64,原材料价格表!$B$2:$G$436,6,0)</f>
        <v/>
      </c>
      <c r="F64" s="92">
        <f>VLOOKUP(B64,原材料价格表!$B$2:$G$436,5,0)</f>
        <v/>
      </c>
      <c r="G64" s="123" t="n">
        <v>1</v>
      </c>
      <c r="H64" s="124">
        <f>E64/F64/G64</f>
        <v/>
      </c>
      <c r="I64" s="92" t="n">
        <v>30</v>
      </c>
      <c r="J64" s="124">
        <f>H64*I64</f>
        <v/>
      </c>
      <c r="K64" s="92" t="n"/>
    </row>
    <row r="65" ht="15.6" customHeight="1" s="170">
      <c r="A65" s="173" t="n"/>
      <c r="B65" s="94" t="inlineStr">
        <is>
          <t>蔗糖糖浆</t>
        </is>
      </c>
      <c r="C65" s="92">
        <f>VLOOKUP(B65,原材料价格表!$B$2:$G$436,2,0)</f>
        <v/>
      </c>
      <c r="D65" s="92">
        <f>VLOOKUP(B65,原材料价格表!$B$2:$G$436,3,0)</f>
        <v/>
      </c>
      <c r="E65" s="122">
        <f>VLOOKUP(B65,原材料价格表!$B$2:$G$436,6,0)</f>
        <v/>
      </c>
      <c r="F65" s="92">
        <f>VLOOKUP(B65,原材料价格表!$B$2:$G$436,5,0)</f>
        <v/>
      </c>
      <c r="G65" s="123" t="n">
        <v>1</v>
      </c>
      <c r="H65" s="124">
        <f>E65/F65/G65</f>
        <v/>
      </c>
      <c r="I65" s="92" t="n">
        <v>30</v>
      </c>
      <c r="J65" s="124">
        <f>H65*I65</f>
        <v/>
      </c>
      <c r="K65" s="92" t="n"/>
    </row>
    <row r="66" ht="15.6" customHeight="1" s="170">
      <c r="A66" s="173" t="n"/>
      <c r="B66" s="94" t="inlineStr">
        <is>
          <t>牛乳粉</t>
        </is>
      </c>
      <c r="C66" s="92">
        <f>VLOOKUP(B66,原材料价格表!$B$2:$G$436,2,0)</f>
        <v/>
      </c>
      <c r="D66" s="92">
        <f>VLOOKUP(B66,原材料价格表!$B$2:$G$436,3,0)</f>
        <v/>
      </c>
      <c r="E66" s="122">
        <f>VLOOKUP(B66,原材料价格表!$B$2:$G$436,6,0)</f>
        <v/>
      </c>
      <c r="F66" s="92">
        <f>VLOOKUP(B66,原材料价格表!$B$2:$G$436,5,0)</f>
        <v/>
      </c>
      <c r="G66" s="123" t="n">
        <v>1</v>
      </c>
      <c r="H66" s="124">
        <f>E66/F66/G66</f>
        <v/>
      </c>
      <c r="I66" s="92" t="n">
        <v>15</v>
      </c>
      <c r="J66" s="124">
        <f>H66*I66</f>
        <v/>
      </c>
      <c r="K66" s="92" t="n"/>
    </row>
    <row r="67" ht="15.6" customHeight="1" s="170">
      <c r="A67" s="173" t="n"/>
      <c r="B67" s="94" t="inlineStr">
        <is>
          <t>冰块</t>
        </is>
      </c>
      <c r="C67" s="92">
        <f>VLOOKUP(B67,原材料价格表!$B$2:$G$436,2,0)</f>
        <v/>
      </c>
      <c r="D67" s="92">
        <f>VLOOKUP(B67,原材料价格表!$B$2:$G$436,3,0)</f>
        <v/>
      </c>
      <c r="E67" s="122">
        <f>VLOOKUP(B67,原材料价格表!$B$2:$G$436,6,0)</f>
        <v/>
      </c>
      <c r="F67" s="92">
        <f>VLOOKUP(B67,原材料价格表!$B$2:$G$436,5,0)</f>
        <v/>
      </c>
      <c r="G67" s="123" t="n">
        <v>1</v>
      </c>
      <c r="H67" s="124">
        <f>E67/F67/G67</f>
        <v/>
      </c>
      <c r="I67" s="92" t="n">
        <v>300</v>
      </c>
      <c r="J67" s="124">
        <f>H67*I67</f>
        <v/>
      </c>
      <c r="K67" s="92" t="n"/>
    </row>
    <row r="68" ht="15.6" customHeight="1" s="170">
      <c r="A68" s="173" t="n"/>
      <c r="B68" s="94" t="inlineStr">
        <is>
          <t>糯米</t>
        </is>
      </c>
      <c r="C68" s="92">
        <f>VLOOKUP(B68,原材料价格表!$B$2:$G$436,2,0)</f>
        <v/>
      </c>
      <c r="D68" s="92">
        <f>VLOOKUP(B68,原材料价格表!$B$2:$G$436,3,0)</f>
        <v/>
      </c>
      <c r="E68" s="122">
        <f>VLOOKUP(B68,原材料价格表!$B$2:$G$436,6,0)</f>
        <v/>
      </c>
      <c r="F68" s="92">
        <f>VLOOKUP(B68,原材料价格表!$B$2:$G$436,5,0)</f>
        <v/>
      </c>
      <c r="G68" s="123" t="n">
        <v>2.55</v>
      </c>
      <c r="H68" s="124">
        <f>E68/F68/G68</f>
        <v/>
      </c>
      <c r="I68" s="92" t="n">
        <v>40</v>
      </c>
      <c r="J68" s="124">
        <f>H68*I68</f>
        <v/>
      </c>
      <c r="K68" s="92" t="n"/>
    </row>
    <row r="69" ht="15.6" customHeight="1" s="170">
      <c r="A69" s="173" t="n"/>
      <c r="B69" s="94" t="inlineStr">
        <is>
          <t>干桂花</t>
        </is>
      </c>
      <c r="C69" s="92">
        <f>VLOOKUP(B69,原材料价格表!$B$2:$G$436,2,0)</f>
        <v/>
      </c>
      <c r="D69" s="92">
        <f>VLOOKUP(B69,原材料价格表!$B$2:$G$436,3,0)</f>
        <v/>
      </c>
      <c r="E69" s="122">
        <f>VLOOKUP(B69,原材料价格表!$B$2:$G$436,6,0)</f>
        <v/>
      </c>
      <c r="F69" s="92">
        <f>VLOOKUP(B69,原材料价格表!$B$2:$G$436,5,0)</f>
        <v/>
      </c>
      <c r="G69" s="123" t="n">
        <v>1</v>
      </c>
      <c r="H69" s="124">
        <f>E69/F69/G69</f>
        <v/>
      </c>
      <c r="I69" s="92" t="n">
        <v>1</v>
      </c>
      <c r="J69" s="124">
        <f>H69*I69</f>
        <v/>
      </c>
      <c r="K69" s="92" t="n"/>
    </row>
    <row r="70" ht="15.6" customHeight="1" s="170">
      <c r="A70" s="173" t="n"/>
      <c r="B70" s="94" t="inlineStr">
        <is>
          <t>鲜龙眼</t>
        </is>
      </c>
      <c r="C70" s="92">
        <f>VLOOKUP(B70,原材料价格表!$B$2:$G$436,2,0)</f>
        <v/>
      </c>
      <c r="D70" s="92">
        <f>VLOOKUP(B70,原材料价格表!$B$2:$G$436,3,0)</f>
        <v/>
      </c>
      <c r="E70" s="122">
        <f>VLOOKUP(B70,原材料价格表!$B$2:$G$436,6,0)</f>
        <v/>
      </c>
      <c r="F70" s="92">
        <f>VLOOKUP(B70,原材料价格表!$B$2:$G$436,5,0)</f>
        <v/>
      </c>
      <c r="G70" s="123" t="n">
        <v>0.9</v>
      </c>
      <c r="H70" s="124">
        <f>E70/F70/G70</f>
        <v/>
      </c>
      <c r="I70" s="92" t="n">
        <v>10</v>
      </c>
      <c r="J70" s="124">
        <f>H70*I70</f>
        <v/>
      </c>
      <c r="K70" s="92" t="n"/>
    </row>
    <row r="71" ht="18" customHeight="1" s="170">
      <c r="A71" s="174" t="n"/>
      <c r="B71" s="95" t="inlineStr">
        <is>
          <t>售价</t>
        </is>
      </c>
      <c r="C71" s="175" t="n">
        <v>28</v>
      </c>
      <c r="D71" s="95" t="inlineStr">
        <is>
          <t>售卖份量/g</t>
        </is>
      </c>
      <c r="E71" s="125">
        <f>SUM(I63:I70)</f>
        <v/>
      </c>
      <c r="F71" s="93" t="inlineStr">
        <is>
          <t>总成本（元）</t>
        </is>
      </c>
      <c r="G71" s="176">
        <f>SUM(J63:J70)</f>
        <v/>
      </c>
      <c r="H71" s="127" t="inlineStr">
        <is>
          <t>毛利/元</t>
        </is>
      </c>
      <c r="I71" s="127">
        <f>C71-G71</f>
        <v/>
      </c>
      <c r="J71" s="127" t="inlineStr">
        <is>
          <t>毛利率</t>
        </is>
      </c>
      <c r="K71" s="145">
        <f>I71/C71</f>
        <v/>
      </c>
    </row>
    <row r="72" ht="15.6" customHeight="1" s="170">
      <c r="A72" s="91" t="inlineStr">
        <is>
          <t>柿子半熟生酪</t>
        </is>
      </c>
      <c r="B72" s="94" t="inlineStr">
        <is>
          <t>奶油奶酪</t>
        </is>
      </c>
      <c r="C72" s="92">
        <f>VLOOKUP(B72,原材料价格表!$B$2:$G$436,2,0)</f>
        <v/>
      </c>
      <c r="D72" s="92">
        <f>VLOOKUP(B72,原材料价格表!$B$2:$G$436,3,0)</f>
        <v/>
      </c>
      <c r="E72" s="122">
        <f>VLOOKUP(B72,原材料价格表!$B$2:$G$436,6,0)</f>
        <v/>
      </c>
      <c r="F72" s="92">
        <f>VLOOKUP(B72,原材料价格表!$B$2:$G$436,5,0)</f>
        <v/>
      </c>
      <c r="G72" s="123" t="n">
        <v>1</v>
      </c>
      <c r="H72" s="124">
        <f>E72/F72/G72</f>
        <v/>
      </c>
      <c r="I72" s="92" t="n">
        <v>80</v>
      </c>
      <c r="J72" s="124">
        <f>H72*I72</f>
        <v/>
      </c>
      <c r="K72" s="92" t="n"/>
    </row>
    <row r="73" ht="15.6" customHeight="1" s="170">
      <c r="A73" s="173" t="n"/>
      <c r="B73" s="94" t="inlineStr">
        <is>
          <t>全脂牛奶</t>
        </is>
      </c>
      <c r="C73" s="92">
        <f>VLOOKUP(B73,原材料价格表!$B$2:$G$436,2,0)</f>
        <v/>
      </c>
      <c r="D73" s="92">
        <f>VLOOKUP(B73,原材料价格表!$B$2:$G$436,3,0)</f>
        <v/>
      </c>
      <c r="E73" s="122">
        <f>VLOOKUP(B73,原材料价格表!$B$2:$G$436,6,0)</f>
        <v/>
      </c>
      <c r="F73" s="92">
        <f>VLOOKUP(B73,原材料价格表!$B$2:$G$436,5,0)</f>
        <v/>
      </c>
      <c r="G73" s="123" t="n">
        <v>1</v>
      </c>
      <c r="H73" s="124">
        <f>E73/F73/G73</f>
        <v/>
      </c>
      <c r="I73" s="92" t="n">
        <v>110</v>
      </c>
      <c r="J73" s="124">
        <f>H73*I73</f>
        <v/>
      </c>
      <c r="K73" s="92" t="n"/>
    </row>
    <row r="74" ht="15.6" customHeight="1" s="170">
      <c r="A74" s="173" t="n"/>
      <c r="B74" s="94" t="inlineStr">
        <is>
          <t>百利凝胶片</t>
        </is>
      </c>
      <c r="C74" s="92">
        <f>VLOOKUP(B74,原材料价格表!$B$2:$G$436,2,0)</f>
        <v/>
      </c>
      <c r="D74" s="92">
        <f>VLOOKUP(B74,原材料价格表!$B$2:$G$436,3,0)</f>
        <v/>
      </c>
      <c r="E74" s="122">
        <f>VLOOKUP(B74,原材料价格表!$B$2:$G$436,6,0)</f>
        <v/>
      </c>
      <c r="F74" s="92">
        <f>VLOOKUP(B74,原材料价格表!$B$2:$G$436,5,0)</f>
        <v/>
      </c>
      <c r="G74" s="123" t="n">
        <v>1</v>
      </c>
      <c r="H74" s="124">
        <f>E74/F74/G74</f>
        <v/>
      </c>
      <c r="I74" s="92" t="n">
        <v>4</v>
      </c>
      <c r="J74" s="124">
        <f>H74*I74</f>
        <v/>
      </c>
      <c r="K74" s="92" t="n"/>
    </row>
    <row r="75" ht="15.6" customHeight="1" s="170">
      <c r="A75" s="173" t="n"/>
      <c r="B75" s="94" t="inlineStr">
        <is>
          <t>冷冻柿子浆</t>
        </is>
      </c>
      <c r="C75" s="92">
        <f>VLOOKUP(B75,原材料价格表!$B$2:$G$436,2,0)</f>
        <v/>
      </c>
      <c r="D75" s="92">
        <f>VLOOKUP(B75,原材料价格表!$B$2:$G$436,3,0)</f>
        <v/>
      </c>
      <c r="E75" s="122">
        <f>VLOOKUP(B75,原材料价格表!$B$2:$G$436,6,0)</f>
        <v/>
      </c>
      <c r="F75" s="92">
        <f>VLOOKUP(B75,原材料价格表!$B$2:$G$436,5,0)</f>
        <v/>
      </c>
      <c r="G75" s="123" t="n">
        <v>1</v>
      </c>
      <c r="H75" s="124">
        <f>E75/F75/G75</f>
        <v/>
      </c>
      <c r="I75" s="92" t="n">
        <v>50</v>
      </c>
      <c r="J75" s="124">
        <f>H75*I75</f>
        <v/>
      </c>
      <c r="K75" s="92" t="n"/>
    </row>
    <row r="76" ht="15.6" customHeight="1" s="170">
      <c r="A76" s="173" t="n"/>
      <c r="B76" s="94" t="inlineStr">
        <is>
          <t>白糖</t>
        </is>
      </c>
      <c r="C76" s="92">
        <f>VLOOKUP(B76,原材料价格表!$B$2:$G$436,2,0)</f>
        <v/>
      </c>
      <c r="D76" s="92">
        <f>VLOOKUP(B76,原材料价格表!$B$2:$G$436,3,0)</f>
        <v/>
      </c>
      <c r="E76" s="122">
        <f>VLOOKUP(B76,原材料价格表!$B$2:$G$436,6,0)</f>
        <v/>
      </c>
      <c r="F76" s="92">
        <f>VLOOKUP(B76,原材料价格表!$B$2:$G$436,5,0)</f>
        <v/>
      </c>
      <c r="G76" s="123" t="n">
        <v>1</v>
      </c>
      <c r="H76" s="124">
        <f>E76/F76/G76</f>
        <v/>
      </c>
      <c r="I76" s="92" t="n">
        <v>12</v>
      </c>
      <c r="J76" s="124">
        <f>H76*I76</f>
        <v/>
      </c>
      <c r="K76" s="92" t="n"/>
    </row>
    <row r="77" ht="15.6" customHeight="1" s="170">
      <c r="A77" s="173" t="n"/>
      <c r="B77" s="94" t="inlineStr">
        <is>
          <t>干桂花</t>
        </is>
      </c>
      <c r="C77" s="92">
        <f>VLOOKUP(B77,原材料价格表!$B$2:$G$436,2,0)</f>
        <v/>
      </c>
      <c r="D77" s="92">
        <f>VLOOKUP(B77,原材料价格表!$B$2:$G$436,3,0)</f>
        <v/>
      </c>
      <c r="E77" s="122">
        <f>VLOOKUP(B77,原材料价格表!$B$2:$G$436,6,0)</f>
        <v/>
      </c>
      <c r="F77" s="92">
        <f>VLOOKUP(B77,原材料价格表!$B$2:$G$436,5,0)</f>
        <v/>
      </c>
      <c r="G77" s="123" t="n">
        <v>1</v>
      </c>
      <c r="H77" s="124">
        <f>E77/F77/G77</f>
        <v/>
      </c>
      <c r="I77" s="92" t="n">
        <v>0.5</v>
      </c>
      <c r="J77" s="124">
        <f>H77*I77</f>
        <v/>
      </c>
      <c r="K77" s="92" t="n"/>
    </row>
    <row r="78" ht="15.6" customHeight="1" s="170">
      <c r="A78" s="173" t="n"/>
      <c r="B78" s="94" t="inlineStr">
        <is>
          <t>淡奶油</t>
        </is>
      </c>
      <c r="C78" s="92">
        <f>VLOOKUP(B78,原材料价格表!$B$2:$G$436,2,0)</f>
        <v/>
      </c>
      <c r="D78" s="92">
        <f>VLOOKUP(B78,原材料价格表!$B$2:$G$436,3,0)</f>
        <v/>
      </c>
      <c r="E78" s="122">
        <f>VLOOKUP(B78,原材料价格表!$B$2:$G$436,6,0)</f>
        <v/>
      </c>
      <c r="F78" s="92">
        <f>VLOOKUP(B78,原材料价格表!$B$2:$G$436,5,0)</f>
        <v/>
      </c>
      <c r="G78" s="123" t="n">
        <v>1</v>
      </c>
      <c r="H78" s="124">
        <f>E78/F78/G78</f>
        <v/>
      </c>
      <c r="I78" s="92" t="n">
        <v>50</v>
      </c>
      <c r="J78" s="124">
        <f>H78*I78</f>
        <v/>
      </c>
      <c r="K78" s="92" t="n"/>
    </row>
    <row r="79" ht="18" customHeight="1" s="170">
      <c r="A79" s="174" t="n"/>
      <c r="B79" s="95" t="inlineStr">
        <is>
          <t>售价</t>
        </is>
      </c>
      <c r="C79" s="175" t="n">
        <v>28</v>
      </c>
      <c r="D79" s="95" t="inlineStr">
        <is>
          <t>售卖份量/g</t>
        </is>
      </c>
      <c r="E79" s="125">
        <f>SUM(I72:I78)</f>
        <v/>
      </c>
      <c r="F79" s="93" t="inlineStr">
        <is>
          <t>总成本（元）</t>
        </is>
      </c>
      <c r="G79" s="176">
        <f>SUM(J72:J78)</f>
        <v/>
      </c>
      <c r="H79" s="127" t="inlineStr">
        <is>
          <t>毛利/元</t>
        </is>
      </c>
      <c r="I79" s="127">
        <f>C79-G79</f>
        <v/>
      </c>
      <c r="J79" s="127" t="inlineStr">
        <is>
          <t>毛利率</t>
        </is>
      </c>
      <c r="K79" s="145">
        <f>I79/C79</f>
        <v/>
      </c>
    </row>
  </sheetData>
  <mergeCells count="14">
    <mergeCell ref="A8:A13"/>
    <mergeCell ref="A44:A51"/>
    <mergeCell ref="A52:A57"/>
    <mergeCell ref="A18:A23"/>
    <mergeCell ref="A27:A32"/>
    <mergeCell ref="A33:A35"/>
    <mergeCell ref="A72:A79"/>
    <mergeCell ref="A3:A7"/>
    <mergeCell ref="A14:A17"/>
    <mergeCell ref="A24:A26"/>
    <mergeCell ref="A36:A41"/>
    <mergeCell ref="A63:A71"/>
    <mergeCell ref="A1:K1"/>
    <mergeCell ref="A58:A6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X263"/>
  <sheetViews>
    <sheetView tabSelected="1" topLeftCell="B1" workbookViewId="0">
      <selection activeCell="N20" sqref="N20"/>
    </sheetView>
  </sheetViews>
  <sheetFormatPr baseColWidth="8" defaultColWidth="14" defaultRowHeight="15.2"/>
  <cols>
    <col width="19.1442307692308" customWidth="1" style="170" min="4" max="4"/>
    <col width="23.8557692307692" customWidth="1" style="170" min="5" max="5"/>
    <col width="20.3461538461538" customWidth="1" style="170" min="6" max="6"/>
    <col width="14" customWidth="1" style="149" min="7" max="7"/>
    <col width="15" customWidth="1" style="170" min="11" max="11"/>
    <col width="26.8557692307692" customWidth="1" style="170" min="14" max="14"/>
  </cols>
  <sheetData>
    <row r="1" ht="20" customHeight="1" s="170">
      <c r="A1" s="2" t="inlineStr">
        <is>
          <t>分类</t>
        </is>
      </c>
      <c r="B1" s="3" t="inlineStr">
        <is>
          <t>原材料名称</t>
        </is>
      </c>
      <c r="C1" s="3" t="inlineStr">
        <is>
          <t>进货渠道</t>
        </is>
      </c>
      <c r="D1" s="25" t="inlineStr">
        <is>
          <t>品牌</t>
        </is>
      </c>
      <c r="E1" s="25" t="inlineStr">
        <is>
          <t>规格</t>
        </is>
      </c>
      <c r="F1" s="24" t="inlineStr">
        <is>
          <t>基础单位数量(g)</t>
        </is>
      </c>
      <c r="G1" s="25" t="inlineStr">
        <is>
          <t>采购价格(元)</t>
        </is>
      </c>
      <c r="H1" s="25" t="inlineStr">
        <is>
          <t>储存方式</t>
        </is>
      </c>
      <c r="I1" t="inlineStr">
        <is>
          <t>标准出成率</t>
        </is>
      </c>
      <c r="J1" t="inlineStr">
        <is>
          <t>基础单价(元/g)</t>
        </is>
      </c>
      <c r="K1" s="25" t="inlineStr">
        <is>
          <t>备注</t>
        </is>
      </c>
      <c r="L1" s="2" t="inlineStr">
        <is>
          <t>分类</t>
        </is>
      </c>
      <c r="M1" s="3" t="inlineStr">
        <is>
          <t>是否供应链化</t>
        </is>
      </c>
      <c r="N1" s="34" t="inlineStr">
        <is>
          <t>付款方式</t>
        </is>
      </c>
      <c r="O1" s="39" t="n"/>
      <c r="P1" s="39" t="n"/>
      <c r="Q1" s="39" t="n"/>
      <c r="R1" s="39" t="n"/>
      <c r="S1" s="39" t="n"/>
      <c r="T1" s="39" t="n"/>
      <c r="U1" s="39" t="n"/>
      <c r="V1" s="39" t="n"/>
      <c r="W1" s="39" t="n"/>
      <c r="X1" s="39" t="n"/>
    </row>
    <row r="2" ht="17.6" customHeight="1" s="170">
      <c r="A2" s="5" t="inlineStr">
        <is>
          <t>干杂</t>
        </is>
      </c>
      <c r="B2" s="6" t="inlineStr">
        <is>
          <t>红油</t>
        </is>
      </c>
      <c r="C2" s="6" t="inlineStr">
        <is>
          <t>自制</t>
        </is>
      </c>
      <c r="D2" s="7" t="n"/>
      <c r="E2" s="7" t="n"/>
      <c r="F2" s="26" t="n">
        <v>500</v>
      </c>
      <c r="G2" s="187" t="n">
        <v>27</v>
      </c>
      <c r="H2" s="57" t="inlineStr">
        <is>
          <t>常温</t>
        </is>
      </c>
      <c r="I2" t="n">
        <v>0.95</v>
      </c>
      <c r="J2" t="n">
        <v>0.05</v>
      </c>
      <c r="K2" s="28" t="n"/>
      <c r="L2" s="5" t="inlineStr">
        <is>
          <t>干杂</t>
        </is>
      </c>
      <c r="M2" s="57" t="n"/>
      <c r="N2" s="6" t="n"/>
      <c r="O2" s="39" t="n"/>
      <c r="P2" s="40" t="inlineStr">
        <is>
          <t>采购渠道：</t>
        </is>
      </c>
      <c r="Q2" s="39" t="n"/>
      <c r="R2" s="39" t="n"/>
      <c r="S2" s="39" t="n"/>
      <c r="T2" s="39" t="n"/>
      <c r="U2" s="39" t="n"/>
      <c r="V2" s="39" t="n"/>
      <c r="W2" s="39" t="n"/>
      <c r="X2" s="39" t="n"/>
    </row>
    <row r="3" ht="17.6" customHeight="1" s="170">
      <c r="A3" s="5" t="inlineStr">
        <is>
          <t>干杂</t>
        </is>
      </c>
      <c r="B3" s="6" t="inlineStr">
        <is>
          <t>水</t>
        </is>
      </c>
      <c r="C3" s="13" t="inlineStr">
        <is>
          <t>自制</t>
        </is>
      </c>
      <c r="D3" s="7" t="n"/>
      <c r="E3" s="7" t="n"/>
      <c r="F3" s="26" t="n">
        <v>500</v>
      </c>
      <c r="G3" s="187" t="n">
        <v>0</v>
      </c>
      <c r="H3" s="28" t="n"/>
      <c r="I3" t="n">
        <v>1</v>
      </c>
      <c r="K3" s="28" t="n"/>
      <c r="L3" s="5" t="inlineStr">
        <is>
          <t>干杂</t>
        </is>
      </c>
      <c r="M3" s="57" t="n"/>
      <c r="N3" s="13" t="n"/>
      <c r="O3" s="39" t="n"/>
      <c r="P3" s="40" t="inlineStr">
        <is>
          <t>1.成都牛肉供货商</t>
        </is>
      </c>
      <c r="Q3" s="39" t="n"/>
      <c r="R3" s="39" t="n"/>
      <c r="S3" s="39" t="n"/>
      <c r="T3" s="39" t="n"/>
      <c r="U3" s="39" t="n"/>
      <c r="V3" s="39" t="n"/>
      <c r="W3" s="39" t="n"/>
      <c r="X3" s="39" t="n"/>
    </row>
    <row r="4" ht="17.6" customHeight="1" s="170">
      <c r="A4" s="93" t="n"/>
      <c r="B4" s="13" t="inlineStr">
        <is>
          <t>冰块</t>
        </is>
      </c>
      <c r="C4" s="13" t="inlineStr">
        <is>
          <t>自制</t>
        </is>
      </c>
      <c r="D4" s="57" t="n"/>
      <c r="E4" s="57" t="n"/>
      <c r="F4" s="26" t="n">
        <v>500</v>
      </c>
      <c r="G4" s="187" t="n">
        <v>0</v>
      </c>
      <c r="H4" s="28" t="n"/>
      <c r="I4" t="n">
        <v>1</v>
      </c>
      <c r="K4" s="28" t="n"/>
      <c r="L4" s="93" t="n"/>
      <c r="M4" s="57" t="n"/>
      <c r="N4" s="13" t="n"/>
      <c r="O4" s="41" t="n"/>
      <c r="P4" s="40" t="inlineStr">
        <is>
          <t>2.绵阳蔬菜</t>
        </is>
      </c>
      <c r="Q4" s="41" t="n"/>
      <c r="R4" s="41" t="n"/>
      <c r="S4" s="41" t="n"/>
      <c r="T4" s="41" t="n"/>
      <c r="U4" s="41" t="n"/>
      <c r="V4" s="41" t="n"/>
      <c r="W4" s="41" t="n"/>
      <c r="X4" s="41" t="n"/>
    </row>
    <row r="5" ht="17.6" customHeight="1" s="170">
      <c r="A5" s="91" t="inlineStr">
        <is>
          <t>自制酱料</t>
        </is>
      </c>
      <c r="B5" s="13" t="inlineStr">
        <is>
          <t>香茅酱</t>
        </is>
      </c>
      <c r="C5" s="13" t="inlineStr">
        <is>
          <t>自制</t>
        </is>
      </c>
      <c r="D5" s="7" t="n"/>
      <c r="E5" s="7" t="n"/>
      <c r="F5" s="26">
        <f>'肉类、海鲜（涮菜）'!F116</f>
        <v/>
      </c>
      <c r="G5" s="187">
        <f>'肉类、海鲜（涮菜）'!H116</f>
        <v/>
      </c>
      <c r="H5" s="28" t="n"/>
      <c r="I5" t="n">
        <v>1</v>
      </c>
      <c r="K5" s="28" t="n"/>
      <c r="L5" s="91" t="inlineStr">
        <is>
          <t>自制酱料</t>
        </is>
      </c>
      <c r="M5" s="57" t="n"/>
      <c r="N5" s="13" t="n"/>
      <c r="O5" s="39" t="n"/>
      <c r="P5" s="40" t="inlineStr">
        <is>
          <t>3.绵阳干杂</t>
        </is>
      </c>
      <c r="Q5" s="39" t="n"/>
      <c r="R5" s="39" t="n"/>
      <c r="S5" s="39" t="n"/>
      <c r="T5" s="39" t="n"/>
      <c r="U5" s="39" t="n"/>
      <c r="V5" s="39" t="n"/>
      <c r="W5" s="39" t="n"/>
      <c r="X5" s="39" t="n"/>
    </row>
    <row r="6" ht="17.6" customHeight="1" s="170">
      <c r="A6" s="91" t="inlineStr">
        <is>
          <t>自制酱料</t>
        </is>
      </c>
      <c r="B6" s="13" t="inlineStr">
        <is>
          <t>干巴菌酱</t>
        </is>
      </c>
      <c r="C6" s="13" t="inlineStr">
        <is>
          <t>自制</t>
        </is>
      </c>
      <c r="D6" s="7" t="n"/>
      <c r="E6" s="7" t="n"/>
      <c r="F6" s="26">
        <f>'肉类、海鲜（涮菜）'!F140</f>
        <v/>
      </c>
      <c r="G6" s="187">
        <f>'肉类、海鲜（涮菜）'!H140</f>
        <v/>
      </c>
      <c r="H6" s="28" t="n"/>
      <c r="I6" t="n">
        <v>1</v>
      </c>
      <c r="K6" s="28" t="n"/>
      <c r="L6" s="91" t="inlineStr">
        <is>
          <t>自制酱料</t>
        </is>
      </c>
      <c r="M6" s="57" t="n"/>
      <c r="N6" s="13" t="n"/>
      <c r="O6" s="39" t="n"/>
      <c r="P6" s="40" t="inlineStr">
        <is>
          <t>4.绵阳海鲜</t>
        </is>
      </c>
      <c r="Q6" s="39" t="n"/>
      <c r="R6" s="39" t="n"/>
      <c r="S6" s="39" t="n"/>
      <c r="T6" s="39" t="n"/>
      <c r="U6" s="39" t="n"/>
      <c r="V6" s="39" t="n"/>
      <c r="W6" s="39" t="n"/>
      <c r="X6" s="39" t="n"/>
    </row>
    <row r="7" ht="17.6" customHeight="1" s="170">
      <c r="A7" s="12" t="inlineStr">
        <is>
          <t>自制</t>
        </is>
      </c>
      <c r="B7" s="13" t="inlineStr">
        <is>
          <t>鸭屎香乌龙茶汤</t>
        </is>
      </c>
      <c r="C7" s="13" t="inlineStr">
        <is>
          <t>自制</t>
        </is>
      </c>
      <c r="D7" s="7" t="n"/>
      <c r="E7" s="52" t="n"/>
      <c r="F7" s="26">
        <f>糖水铺!E26</f>
        <v/>
      </c>
      <c r="G7" s="187">
        <f>糖水铺!G26</f>
        <v/>
      </c>
      <c r="H7" s="12" t="inlineStr">
        <is>
          <t>冷藏</t>
        </is>
      </c>
      <c r="I7" t="n">
        <v>1</v>
      </c>
      <c r="K7" s="35" t="n"/>
      <c r="L7" s="12" t="inlineStr">
        <is>
          <t>自制</t>
        </is>
      </c>
      <c r="M7" s="57" t="n"/>
      <c r="N7" s="13" t="n"/>
      <c r="O7" s="39" t="n"/>
      <c r="P7" s="40" t="inlineStr">
        <is>
          <t>5.酒商</t>
        </is>
      </c>
      <c r="Q7" s="39" t="n"/>
      <c r="R7" s="39" t="n"/>
      <c r="S7" s="39" t="n"/>
      <c r="T7" s="39" t="n"/>
      <c r="U7" s="39" t="n"/>
      <c r="V7" s="39" t="n"/>
      <c r="W7" s="39" t="n"/>
      <c r="X7" s="39" t="n"/>
    </row>
    <row r="8" ht="20" customHeight="1" s="170">
      <c r="A8" s="12" t="inlineStr">
        <is>
          <t>自制</t>
        </is>
      </c>
      <c r="B8" s="13" t="inlineStr">
        <is>
          <t>山茶花茶汤</t>
        </is>
      </c>
      <c r="C8" s="13" t="inlineStr">
        <is>
          <t>自制</t>
        </is>
      </c>
      <c r="D8" s="57" t="n"/>
      <c r="E8" s="57" t="n"/>
      <c r="F8" s="26">
        <f>糖水铺!E7</f>
        <v/>
      </c>
      <c r="G8" s="187">
        <f>糖水铺!G7</f>
        <v/>
      </c>
      <c r="H8" s="12" t="inlineStr">
        <is>
          <t>冷藏</t>
        </is>
      </c>
      <c r="I8" t="n">
        <v>1</v>
      </c>
      <c r="K8" s="28" t="n"/>
      <c r="L8" s="12" t="inlineStr">
        <is>
          <t>自制</t>
        </is>
      </c>
      <c r="M8" s="57" t="n"/>
      <c r="N8" s="13" t="n"/>
      <c r="O8" s="39" t="n"/>
      <c r="P8" s="40" t="inlineStr">
        <is>
          <t>6.绵阳干冰</t>
        </is>
      </c>
      <c r="Q8" s="39" t="n"/>
      <c r="R8" s="39" t="n"/>
      <c r="S8" s="39" t="n"/>
      <c r="T8" s="39" t="n"/>
      <c r="U8" s="39" t="n"/>
      <c r="V8" s="39" t="n"/>
      <c r="W8" s="39" t="n"/>
      <c r="X8" s="39" t="n"/>
    </row>
    <row r="9" ht="20" customHeight="1" s="170">
      <c r="A9" s="12" t="inlineStr">
        <is>
          <t>自制</t>
        </is>
      </c>
      <c r="B9" s="13" t="inlineStr">
        <is>
          <t>五指毛桃茶汤</t>
        </is>
      </c>
      <c r="C9" s="13" t="inlineStr">
        <is>
          <t>自制</t>
        </is>
      </c>
      <c r="D9" s="57" t="n"/>
      <c r="E9" s="57" t="n"/>
      <c r="F9" s="26">
        <f>糖水铺!E17</f>
        <v/>
      </c>
      <c r="G9" s="187">
        <f>糖水铺!G17</f>
        <v/>
      </c>
      <c r="H9" s="12" t="inlineStr">
        <is>
          <t>冷藏</t>
        </is>
      </c>
      <c r="I9" t="n">
        <v>1</v>
      </c>
      <c r="K9" s="28" t="n"/>
      <c r="L9" s="12" t="inlineStr">
        <is>
          <t>自制</t>
        </is>
      </c>
      <c r="M9" s="57" t="n"/>
      <c r="N9" s="13" t="n"/>
      <c r="O9" s="39" t="n"/>
      <c r="P9" s="40" t="inlineStr">
        <is>
          <t>7.虾滑群</t>
        </is>
      </c>
      <c r="Q9" s="39" t="n"/>
      <c r="R9" s="39" t="n"/>
      <c r="S9" s="39" t="n"/>
      <c r="T9" s="39" t="n"/>
      <c r="U9" s="39" t="n"/>
      <c r="V9" s="39" t="n"/>
      <c r="W9" s="39" t="n"/>
      <c r="X9" s="39" t="n"/>
    </row>
    <row r="10" ht="20" customHeight="1" s="170">
      <c r="A10" s="5" t="inlineStr">
        <is>
          <t>海鲜</t>
        </is>
      </c>
      <c r="B10" s="52" t="inlineStr">
        <is>
          <t>虾滑</t>
        </is>
      </c>
      <c r="C10" s="12" t="inlineStr">
        <is>
          <t>7.虾滑群</t>
        </is>
      </c>
      <c r="D10" s="52" t="inlineStr">
        <is>
          <t>亚万食品</t>
        </is>
      </c>
      <c r="E10" s="52" t="inlineStr">
        <is>
          <t>150g*30包/件</t>
        </is>
      </c>
      <c r="F10" s="26" t="n">
        <v>125</v>
      </c>
      <c r="G10" s="187" t="n">
        <v>9.17</v>
      </c>
      <c r="H10" s="57" t="inlineStr">
        <is>
          <t>冷冻</t>
        </is>
      </c>
      <c r="I10" t="n">
        <v>1</v>
      </c>
      <c r="J10" t="n">
        <v>0.092</v>
      </c>
      <c r="K10" s="28" t="n"/>
      <c r="L10" s="5" t="inlineStr">
        <is>
          <t>海鲜</t>
        </is>
      </c>
      <c r="M10" s="57" t="n"/>
      <c r="N10" s="12" t="inlineStr">
        <is>
          <t>货到付款</t>
        </is>
      </c>
      <c r="O10" s="39" t="n"/>
      <c r="P10" s="40" t="inlineStr">
        <is>
          <t>8.乌鱼片采购</t>
        </is>
      </c>
      <c r="Q10" s="39" t="n"/>
      <c r="R10" s="39" t="n"/>
      <c r="S10" s="39" t="n"/>
      <c r="T10" s="39" t="n"/>
      <c r="U10" s="39" t="n"/>
      <c r="V10" s="39" t="n"/>
      <c r="W10" s="39" t="n"/>
      <c r="X10" s="39" t="n"/>
    </row>
    <row r="11" ht="17.6" customHeight="1" s="170">
      <c r="A11" s="15" t="inlineStr">
        <is>
          <t>海鲜</t>
        </is>
      </c>
      <c r="B11" s="16" t="inlineStr">
        <is>
          <t>乌鱼片</t>
        </is>
      </c>
      <c r="C11" s="17" t="inlineStr">
        <is>
          <t>8.乌鱼片采购</t>
        </is>
      </c>
      <c r="D11" s="16" t="inlineStr">
        <is>
          <t>四川双柒食品有限公司</t>
        </is>
      </c>
      <c r="E11" s="17" t="inlineStr">
        <is>
          <t>500g/袋</t>
        </is>
      </c>
      <c r="F11" s="29" t="n">
        <v>500</v>
      </c>
      <c r="G11" s="188" t="n">
        <v>22</v>
      </c>
      <c r="H11" s="31" t="inlineStr">
        <is>
          <t>冷冻</t>
        </is>
      </c>
      <c r="I11" t="n">
        <v>0.95</v>
      </c>
      <c r="J11" t="n">
        <v>0.0454</v>
      </c>
      <c r="K11" s="36" t="n"/>
      <c r="L11" s="15" t="inlineStr">
        <is>
          <t>海鲜</t>
        </is>
      </c>
      <c r="M11" s="31" t="n"/>
      <c r="N11" s="17" t="inlineStr">
        <is>
          <t>货到付款</t>
        </is>
      </c>
      <c r="O11" s="39" t="n"/>
      <c r="P11" s="40" t="inlineStr">
        <is>
          <t>9.泓泰商贸（柠檬粉、味露、鱼露）</t>
        </is>
      </c>
      <c r="Q11" s="39" t="n"/>
      <c r="R11" s="39" t="n"/>
      <c r="S11" s="39" t="n"/>
      <c r="T11" s="39" t="n"/>
      <c r="U11" s="39" t="n"/>
      <c r="V11" s="39" t="n"/>
      <c r="W11" s="39" t="n"/>
      <c r="X11" s="39" t="n"/>
    </row>
    <row r="12" ht="17.6" customHeight="1" s="170">
      <c r="A12" s="5" t="inlineStr">
        <is>
          <t>肉类</t>
        </is>
      </c>
      <c r="B12" s="52" t="inlineStr">
        <is>
          <t>雪花松板肉</t>
        </is>
      </c>
      <c r="C12" s="52" t="inlineStr">
        <is>
          <t>网采</t>
        </is>
      </c>
      <c r="D12" s="7" t="n"/>
      <c r="E12" s="52" t="inlineStr">
        <is>
          <t>400g/袋</t>
        </is>
      </c>
      <c r="F12" s="26" t="n">
        <v>400</v>
      </c>
      <c r="G12" s="187" t="n">
        <v>16</v>
      </c>
      <c r="H12" s="57" t="inlineStr">
        <is>
          <t>冷冻</t>
        </is>
      </c>
      <c r="I12" t="n">
        <v>1</v>
      </c>
      <c r="J12" t="n">
        <v>0.04</v>
      </c>
      <c r="K12" s="28" t="n"/>
      <c r="L12" s="5" t="inlineStr">
        <is>
          <t>肉类</t>
        </is>
      </c>
      <c r="M12" s="57" t="n"/>
      <c r="N12" s="52" t="n"/>
      <c r="O12" s="39" t="n"/>
      <c r="P12" s="39" t="inlineStr">
        <is>
          <t>10.干茅草、五指毛桃群</t>
        </is>
      </c>
      <c r="Q12" s="39" t="n"/>
      <c r="R12" s="39" t="n"/>
      <c r="S12" s="39" t="n"/>
      <c r="T12" s="39" t="n"/>
      <c r="U12" s="39" t="n"/>
      <c r="V12" s="39" t="n"/>
      <c r="W12" s="39" t="n"/>
      <c r="X12" s="39" t="n"/>
    </row>
    <row r="13" ht="17.6" customHeight="1" s="170">
      <c r="A13" s="5" t="inlineStr">
        <is>
          <t>肉类</t>
        </is>
      </c>
      <c r="B13" s="18" t="inlineStr">
        <is>
          <t>猪响皮</t>
        </is>
      </c>
      <c r="C13" s="52" t="inlineStr">
        <is>
          <t>网采</t>
        </is>
      </c>
      <c r="D13" s="19" t="inlineStr">
        <is>
          <t>土特产店铺</t>
        </is>
      </c>
      <c r="E13" s="12" t="inlineStr">
        <is>
          <t>称重</t>
        </is>
      </c>
      <c r="F13" s="26" t="n">
        <v>500</v>
      </c>
      <c r="G13" s="187" t="n">
        <v>25</v>
      </c>
      <c r="H13" s="57" t="inlineStr">
        <is>
          <t>常温</t>
        </is>
      </c>
      <c r="I13" t="n">
        <v>0.95</v>
      </c>
      <c r="J13" t="n">
        <v>0.05</v>
      </c>
      <c r="K13" s="28" t="n"/>
      <c r="L13" s="5" t="inlineStr">
        <is>
          <t>肉类</t>
        </is>
      </c>
      <c r="M13" s="37" t="n"/>
      <c r="N13" s="19" t="n"/>
      <c r="O13" s="39" t="n"/>
      <c r="P13" s="39" t="n"/>
      <c r="Q13" s="39" t="n"/>
      <c r="R13" s="39" t="n"/>
      <c r="S13" s="39" t="n"/>
      <c r="T13" s="39" t="n"/>
      <c r="U13" s="39" t="n"/>
      <c r="V13" s="39" t="n"/>
      <c r="W13" s="39" t="n"/>
      <c r="X13" s="39" t="n"/>
    </row>
    <row r="14" ht="17.6" customHeight="1" s="170">
      <c r="A14" s="5" t="inlineStr">
        <is>
          <t>肉类</t>
        </is>
      </c>
      <c r="B14" s="18" t="inlineStr">
        <is>
          <t>糯米午餐肉</t>
        </is>
      </c>
      <c r="C14" s="52" t="inlineStr">
        <is>
          <t>网采</t>
        </is>
      </c>
      <c r="D14" s="19" t="inlineStr">
        <is>
          <t>盛佳佳茂</t>
        </is>
      </c>
      <c r="E14" s="52" t="inlineStr">
        <is>
          <t>340g/罐</t>
        </is>
      </c>
      <c r="F14" s="26" t="n">
        <v>340</v>
      </c>
      <c r="G14" s="187" t="n">
        <v>10.3</v>
      </c>
      <c r="H14" s="57" t="inlineStr">
        <is>
          <t>常温</t>
        </is>
      </c>
      <c r="I14" t="n">
        <v>1</v>
      </c>
      <c r="J14" t="n">
        <v>0.030294</v>
      </c>
      <c r="K14" s="28" t="n"/>
      <c r="L14" s="5" t="inlineStr">
        <is>
          <t>肉类</t>
        </is>
      </c>
      <c r="M14" s="37" t="n"/>
      <c r="N14" s="19" t="n"/>
      <c r="O14" s="39" t="n"/>
      <c r="P14" s="39" t="n"/>
      <c r="Q14" s="39" t="n"/>
      <c r="R14" s="39" t="n"/>
      <c r="S14" s="39" t="n"/>
      <c r="T14" s="39" t="n"/>
      <c r="U14" s="39" t="n"/>
      <c r="V14" s="39" t="n"/>
      <c r="W14" s="39" t="n"/>
      <c r="X14" s="39" t="n"/>
    </row>
    <row r="15" ht="17.6" customHeight="1" s="170">
      <c r="A15" s="5" t="inlineStr">
        <is>
          <t>蔬菜</t>
        </is>
      </c>
      <c r="B15" s="52" t="inlineStr">
        <is>
          <t>干花菜</t>
        </is>
      </c>
      <c r="C15" s="20" t="inlineStr">
        <is>
          <t>网采</t>
        </is>
      </c>
      <c r="D15" s="52" t="inlineStr">
        <is>
          <t>醉川味四川花椒辣椒</t>
        </is>
      </c>
      <c r="E15" s="12" t="inlineStr">
        <is>
          <t>2500g/85.32元</t>
        </is>
      </c>
      <c r="F15" s="26" t="n">
        <v>500</v>
      </c>
      <c r="G15" s="187" t="n">
        <v>17</v>
      </c>
      <c r="H15" s="57" t="inlineStr">
        <is>
          <t>常温</t>
        </is>
      </c>
      <c r="I15" t="n">
        <v>1</v>
      </c>
      <c r="J15" t="n">
        <v>0.034</v>
      </c>
      <c r="K15" s="28" t="n"/>
      <c r="L15" s="5" t="inlineStr">
        <is>
          <t>蔬菜</t>
        </is>
      </c>
      <c r="M15" s="38" t="n"/>
      <c r="N15" s="20" t="n"/>
      <c r="O15" s="39" t="n"/>
      <c r="P15" s="39" t="n"/>
      <c r="Q15" s="39" t="n"/>
      <c r="R15" s="39" t="n"/>
      <c r="S15" s="39" t="n"/>
      <c r="T15" s="39" t="n"/>
      <c r="U15" s="39" t="n"/>
      <c r="V15" s="39" t="n"/>
      <c r="W15" s="39" t="n"/>
      <c r="X15" s="39" t="n"/>
    </row>
    <row r="16" ht="17.6" customHeight="1" s="170">
      <c r="A16" s="5" t="inlineStr">
        <is>
          <t>蔬菜</t>
        </is>
      </c>
      <c r="B16" s="52" t="inlineStr">
        <is>
          <t>干贡菜</t>
        </is>
      </c>
      <c r="C16" s="52" t="inlineStr">
        <is>
          <t>网采</t>
        </is>
      </c>
      <c r="D16" s="52" t="inlineStr">
        <is>
          <t>醉川味四川花椒辣椒</t>
        </is>
      </c>
      <c r="E16" s="12" t="inlineStr">
        <is>
          <t>称重</t>
        </is>
      </c>
      <c r="F16" s="26" t="n">
        <v>500</v>
      </c>
      <c r="G16" s="187" t="n">
        <v>45.5</v>
      </c>
      <c r="H16" s="57" t="inlineStr">
        <is>
          <t>常温</t>
        </is>
      </c>
      <c r="I16" t="n">
        <v>1</v>
      </c>
      <c r="J16" t="n">
        <v>0.091</v>
      </c>
      <c r="K16" s="28" t="n"/>
      <c r="L16" s="5" t="inlineStr">
        <is>
          <t>蔬菜</t>
        </is>
      </c>
      <c r="M16" s="57" t="n"/>
      <c r="N16" s="52" t="n"/>
      <c r="O16" s="39" t="n"/>
      <c r="P16" s="39" t="n"/>
      <c r="Q16" s="39" t="n"/>
      <c r="R16" s="39" t="n"/>
      <c r="S16" s="39" t="n"/>
      <c r="T16" s="39" t="n"/>
      <c r="U16" s="39" t="n"/>
      <c r="V16" s="39" t="n"/>
      <c r="W16" s="39" t="n"/>
      <c r="X16" s="39" t="n"/>
    </row>
    <row r="17" ht="17.6" customHeight="1" s="170">
      <c r="A17" s="5" t="inlineStr">
        <is>
          <t>蔬菜</t>
        </is>
      </c>
      <c r="B17" s="52" t="inlineStr">
        <is>
          <t>干黄花</t>
        </is>
      </c>
      <c r="C17" s="52" t="inlineStr">
        <is>
          <t>网采</t>
        </is>
      </c>
      <c r="D17" s="52" t="inlineStr">
        <is>
          <t>味江涞食品商行</t>
        </is>
      </c>
      <c r="E17" s="12" t="inlineStr">
        <is>
          <t>20斤/件/530元</t>
        </is>
      </c>
      <c r="F17" s="26" t="n">
        <v>500</v>
      </c>
      <c r="G17" s="187" t="n">
        <v>26.5</v>
      </c>
      <c r="H17" s="57" t="inlineStr">
        <is>
          <t>常温</t>
        </is>
      </c>
      <c r="I17" t="n">
        <v>1</v>
      </c>
      <c r="J17" t="n">
        <v>0.053</v>
      </c>
      <c r="K17" s="28" t="n"/>
      <c r="L17" s="5" t="inlineStr">
        <is>
          <t>蔬菜</t>
        </is>
      </c>
      <c r="M17" s="57" t="n"/>
      <c r="N17" s="52" t="n"/>
      <c r="O17" s="39" t="n"/>
      <c r="P17" s="39" t="n"/>
      <c r="Q17" s="39" t="n"/>
      <c r="R17" s="39" t="n"/>
      <c r="S17" s="39" t="n"/>
      <c r="T17" s="39" t="n"/>
      <c r="U17" s="39" t="n"/>
      <c r="V17" s="39" t="n"/>
      <c r="W17" s="39" t="n"/>
      <c r="X17" s="39" t="n"/>
    </row>
    <row r="18" ht="17.6" customHeight="1" s="170">
      <c r="A18" s="5" t="inlineStr">
        <is>
          <t>干杂</t>
        </is>
      </c>
      <c r="B18" s="52" t="inlineStr">
        <is>
          <t>野菜卷（成品）</t>
        </is>
      </c>
      <c r="C18" s="20" t="inlineStr">
        <is>
          <t>网采</t>
        </is>
      </c>
      <c r="D18" s="52" t="inlineStr">
        <is>
          <t>惠厨食品供应商-国味缘</t>
        </is>
      </c>
      <c r="E18" s="52" t="inlineStr">
        <is>
          <t>170元/件 20袋/件 10根/袋</t>
        </is>
      </c>
      <c r="F18" s="26" t="n">
        <v>1</v>
      </c>
      <c r="G18" s="187">
        <f>170/20/10</f>
        <v/>
      </c>
      <c r="H18" s="57" t="inlineStr">
        <is>
          <t>冷藏</t>
        </is>
      </c>
      <c r="I18" t="n">
        <v>1</v>
      </c>
      <c r="K18" s="28" t="inlineStr">
        <is>
          <t>根</t>
        </is>
      </c>
      <c r="L18" s="5" t="inlineStr">
        <is>
          <t>干杂</t>
        </is>
      </c>
      <c r="M18" s="57" t="n"/>
      <c r="N18" s="20" t="n"/>
      <c r="O18" s="39" t="n"/>
      <c r="P18" s="39" t="n"/>
      <c r="Q18" s="39" t="n"/>
      <c r="R18" s="39" t="n"/>
      <c r="S18" s="39" t="n"/>
      <c r="T18" s="39" t="n"/>
      <c r="U18" s="39" t="n"/>
      <c r="V18" s="39" t="n"/>
      <c r="W18" s="39" t="n"/>
      <c r="X18" s="39" t="n"/>
    </row>
    <row r="19" ht="17.6" customHeight="1" s="170">
      <c r="A19" s="5" t="inlineStr">
        <is>
          <t>干杂</t>
        </is>
      </c>
      <c r="B19" s="52" t="inlineStr">
        <is>
          <t>木姜子油</t>
        </is>
      </c>
      <c r="C19" s="20" t="inlineStr">
        <is>
          <t>网采</t>
        </is>
      </c>
      <c r="D19" s="7" t="n"/>
      <c r="E19" s="52" t="inlineStr">
        <is>
          <t>780ml/瓶</t>
        </is>
      </c>
      <c r="F19" s="26" t="n">
        <v>500</v>
      </c>
      <c r="G19" s="187">
        <f>41.5/780*500</f>
        <v/>
      </c>
      <c r="H19" s="57" t="inlineStr">
        <is>
          <t>常温</t>
        </is>
      </c>
      <c r="I19" t="n">
        <v>1</v>
      </c>
      <c r="K19" s="28" t="n"/>
      <c r="L19" s="5" t="inlineStr">
        <is>
          <t>干杂</t>
        </is>
      </c>
      <c r="M19" s="57" t="n"/>
      <c r="N19" s="20" t="n"/>
      <c r="O19" s="39" t="n"/>
      <c r="P19" s="39" t="n"/>
      <c r="Q19" s="39" t="n"/>
      <c r="R19" s="39" t="n"/>
      <c r="S19" s="39" t="n"/>
      <c r="T19" s="39" t="n"/>
      <c r="U19" s="39" t="n"/>
      <c r="V19" s="39" t="n"/>
      <c r="W19" s="39" t="n"/>
      <c r="X19" s="39" t="n"/>
    </row>
    <row r="20" ht="20" customHeight="1" s="170">
      <c r="A20" s="5" t="inlineStr">
        <is>
          <t>干杂</t>
        </is>
      </c>
      <c r="B20" s="52" t="inlineStr">
        <is>
          <t>金蒜酥</t>
        </is>
      </c>
      <c r="C20" s="21" t="inlineStr">
        <is>
          <t>9.泓泰商贸</t>
        </is>
      </c>
      <c r="D20" s="52" t="n"/>
      <c r="E20" s="12" t="inlineStr">
        <is>
          <t>500g/袋</t>
        </is>
      </c>
      <c r="F20" s="26" t="n">
        <v>500</v>
      </c>
      <c r="G20" s="187" t="n">
        <v>20</v>
      </c>
      <c r="H20" s="57" t="inlineStr">
        <is>
          <t>常温</t>
        </is>
      </c>
      <c r="I20" t="n">
        <v>1</v>
      </c>
      <c r="J20" t="n">
        <v>0.04</v>
      </c>
      <c r="K20" s="28" t="n"/>
      <c r="L20" s="5" t="inlineStr">
        <is>
          <t>干杂</t>
        </is>
      </c>
      <c r="M20" s="57" t="n"/>
      <c r="N20" s="20" t="n"/>
      <c r="O20" s="39" t="n"/>
      <c r="Q20" s="39" t="n"/>
      <c r="R20" s="39" t="n"/>
      <c r="S20" s="39" t="n"/>
      <c r="T20" s="39" t="n"/>
      <c r="U20" s="39" t="n"/>
      <c r="V20" s="39" t="n"/>
      <c r="W20" s="39" t="n"/>
      <c r="X20" s="39" t="n"/>
    </row>
    <row r="21" ht="17.6" customHeight="1" s="170">
      <c r="A21" s="5" t="inlineStr">
        <is>
          <t>干杂</t>
        </is>
      </c>
      <c r="B21" s="52" t="inlineStr">
        <is>
          <t>黑松露酱</t>
        </is>
      </c>
      <c r="C21" s="52" t="inlineStr">
        <is>
          <t>网采</t>
        </is>
      </c>
      <c r="D21" s="52" t="inlineStr">
        <is>
          <t>若桑食品批发-欧萨</t>
        </is>
      </c>
      <c r="E21" s="52" t="inlineStr">
        <is>
          <t>500g/罐</t>
        </is>
      </c>
      <c r="F21" s="32" t="n">
        <v>500</v>
      </c>
      <c r="G21" s="189" t="n">
        <v>125</v>
      </c>
      <c r="H21" s="57" t="inlineStr">
        <is>
          <t>冷藏</t>
        </is>
      </c>
      <c r="I21" t="n">
        <v>1</v>
      </c>
      <c r="J21" t="n">
        <v>0.25</v>
      </c>
      <c r="K21" s="28" t="n"/>
      <c r="L21" s="5" t="inlineStr">
        <is>
          <t>干杂</t>
        </is>
      </c>
      <c r="M21" s="57" t="n"/>
      <c r="N21" s="52" t="n"/>
      <c r="O21" s="39" t="n"/>
      <c r="P21" s="39" t="n"/>
      <c r="Q21" s="39" t="n"/>
      <c r="R21" s="39" t="n"/>
      <c r="S21" s="39" t="n"/>
      <c r="T21" s="39" t="n"/>
      <c r="U21" s="39" t="n"/>
      <c r="V21" s="39" t="n"/>
      <c r="W21" s="39" t="n"/>
      <c r="X21" s="39" t="n"/>
    </row>
    <row r="22" ht="17.6" customHeight="1" s="170">
      <c r="A22" s="5" t="inlineStr">
        <is>
          <t>干杂</t>
        </is>
      </c>
      <c r="B22" s="52" t="inlineStr">
        <is>
          <t>墨鱼汁</t>
        </is>
      </c>
      <c r="C22" s="52" t="inlineStr">
        <is>
          <t>网采</t>
        </is>
      </c>
      <c r="D22" s="52" t="inlineStr">
        <is>
          <t>若桑食品批发-欧萨</t>
        </is>
      </c>
      <c r="E22" s="52" t="inlineStr">
        <is>
          <t>500g/罐</t>
        </is>
      </c>
      <c r="F22" s="32" t="n">
        <v>500</v>
      </c>
      <c r="G22" s="187" t="n">
        <v>112</v>
      </c>
      <c r="H22" s="57" t="inlineStr">
        <is>
          <t>冷藏</t>
        </is>
      </c>
      <c r="I22" t="n">
        <v>1</v>
      </c>
      <c r="J22" t="n">
        <v>0.224</v>
      </c>
      <c r="K22" s="28" t="n"/>
      <c r="L22" s="5" t="inlineStr">
        <is>
          <t>干杂</t>
        </is>
      </c>
      <c r="M22" s="57" t="n"/>
      <c r="N22" s="52" t="n"/>
      <c r="O22" s="39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</row>
    <row r="23" ht="17.6" customHeight="1" s="170">
      <c r="A23" s="5" t="inlineStr">
        <is>
          <t>干杂</t>
        </is>
      </c>
      <c r="B23" s="52" t="inlineStr">
        <is>
          <t>黄心皮蛋</t>
        </is>
      </c>
      <c r="C23" s="52" t="inlineStr">
        <is>
          <t>网采</t>
        </is>
      </c>
      <c r="D23" s="52" t="inlineStr">
        <is>
          <t>川农小温的小店</t>
        </is>
      </c>
      <c r="E23" s="52" t="inlineStr">
        <is>
          <t>个</t>
        </is>
      </c>
      <c r="F23" s="26" t="n">
        <v>1</v>
      </c>
      <c r="G23" s="187" t="n">
        <v>1.6</v>
      </c>
      <c r="H23" s="57" t="inlineStr">
        <is>
          <t>常温</t>
        </is>
      </c>
      <c r="I23" t="n">
        <v>1</v>
      </c>
      <c r="J23" t="n">
        <v>1.6</v>
      </c>
      <c r="K23" s="28" t="inlineStr">
        <is>
          <t>单位：个</t>
        </is>
      </c>
      <c r="L23" s="5" t="inlineStr">
        <is>
          <t>干杂</t>
        </is>
      </c>
      <c r="M23" s="57" t="n"/>
      <c r="N23" s="52" t="n"/>
      <c r="O23" s="39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</row>
    <row r="24" ht="17.6" customHeight="1" s="170">
      <c r="A24" s="5" t="inlineStr">
        <is>
          <t>干杂</t>
        </is>
      </c>
      <c r="B24" s="52" t="inlineStr">
        <is>
          <t>春卷皮</t>
        </is>
      </c>
      <c r="C24" s="52" t="inlineStr">
        <is>
          <t>网采</t>
        </is>
      </c>
      <c r="D24" s="52" t="inlineStr">
        <is>
          <t>夜郎食味贵州特产店</t>
        </is>
      </c>
      <c r="E24" s="52" t="inlineStr">
        <is>
          <t>65张/斤/包</t>
        </is>
      </c>
      <c r="F24" s="26" t="n">
        <v>1</v>
      </c>
      <c r="G24" s="187" t="n">
        <v>0.2</v>
      </c>
      <c r="H24" s="57" t="inlineStr">
        <is>
          <t>冷藏</t>
        </is>
      </c>
      <c r="I24" t="n">
        <v>1</v>
      </c>
      <c r="J24" t="n">
        <v>0.2</v>
      </c>
      <c r="K24" s="28" t="inlineStr">
        <is>
          <t>单位：张</t>
        </is>
      </c>
      <c r="L24" s="5" t="inlineStr">
        <is>
          <t>干杂</t>
        </is>
      </c>
      <c r="M24" s="57" t="n"/>
      <c r="N24" s="52" t="n"/>
      <c r="O24" s="39" t="n"/>
      <c r="P24" s="39" t="n"/>
      <c r="Q24" s="39" t="n"/>
      <c r="R24" s="39" t="n"/>
      <c r="S24" s="39" t="n"/>
      <c r="T24" s="39" t="n"/>
      <c r="U24" s="39" t="n"/>
      <c r="V24" s="39" t="n"/>
      <c r="W24" s="39" t="n"/>
      <c r="X24" s="39" t="n"/>
    </row>
    <row r="25" ht="17.6" customHeight="1" s="170">
      <c r="A25" s="5" t="inlineStr">
        <is>
          <t>干杂</t>
        </is>
      </c>
      <c r="B25" s="52" t="inlineStr">
        <is>
          <t>溏心蛋</t>
        </is>
      </c>
      <c r="C25" s="52" t="inlineStr">
        <is>
          <t>网采</t>
        </is>
      </c>
      <c r="D25" s="52" t="inlineStr">
        <is>
          <t>凡人乐旗舰店</t>
        </is>
      </c>
      <c r="E25" s="52" t="inlineStr">
        <is>
          <t>枚</t>
        </is>
      </c>
      <c r="F25" s="26" t="inlineStr">
        <is>
          <t>枚</t>
        </is>
      </c>
      <c r="G25" s="187" t="n">
        <v>2</v>
      </c>
      <c r="H25" s="57" t="inlineStr">
        <is>
          <t>常温</t>
        </is>
      </c>
      <c r="I25" t="n">
        <v>1</v>
      </c>
      <c r="K25" s="28" t="n"/>
      <c r="L25" s="5" t="inlineStr">
        <is>
          <t>干杂</t>
        </is>
      </c>
      <c r="M25" s="57" t="n"/>
      <c r="N25" s="52" t="n"/>
      <c r="O25" s="39" t="n"/>
      <c r="P25" s="39" t="n"/>
      <c r="Q25" s="39" t="n"/>
      <c r="R25" s="39" t="n"/>
      <c r="S25" s="39" t="n"/>
      <c r="T25" s="39" t="n"/>
      <c r="U25" s="39" t="n"/>
      <c r="V25" s="39" t="n"/>
      <c r="W25" s="39" t="n"/>
      <c r="X25" s="39" t="n"/>
    </row>
    <row r="26" ht="17.6" customHeight="1" s="170">
      <c r="A26" s="5" t="inlineStr">
        <is>
          <t>酱料</t>
        </is>
      </c>
      <c r="B26" s="52" t="inlineStr">
        <is>
          <t>豆腐乳</t>
        </is>
      </c>
      <c r="C26" s="52" t="inlineStr">
        <is>
          <t>网采</t>
        </is>
      </c>
      <c r="D26" s="52" t="inlineStr">
        <is>
          <t>百花串</t>
        </is>
      </c>
      <c r="E26" s="52" t="inlineStr">
        <is>
          <t>310g/瓶</t>
        </is>
      </c>
      <c r="F26" s="26" t="n">
        <v>310</v>
      </c>
      <c r="G26" s="187" t="n">
        <v>7.17</v>
      </c>
      <c r="H26" s="57" t="inlineStr">
        <is>
          <t>冷藏</t>
        </is>
      </c>
      <c r="I26" t="n">
        <v>1</v>
      </c>
      <c r="J26" t="n">
        <v>0.023129</v>
      </c>
      <c r="K26" s="28" t="n"/>
      <c r="L26" s="5" t="inlineStr">
        <is>
          <t>酱料</t>
        </is>
      </c>
      <c r="M26" s="57" t="n"/>
      <c r="N26" s="52" t="n"/>
      <c r="O26" s="39" t="n"/>
      <c r="P26" s="39" t="n"/>
      <c r="Q26" s="39" t="n"/>
      <c r="R26" s="39" t="n"/>
      <c r="S26" s="39" t="n"/>
      <c r="T26" s="39" t="n"/>
      <c r="U26" s="39" t="n"/>
      <c r="V26" s="39" t="n"/>
      <c r="W26" s="39" t="n"/>
      <c r="X26" s="39" t="n"/>
    </row>
    <row r="27" ht="17.6" customHeight="1" s="170">
      <c r="A27" s="5" t="inlineStr">
        <is>
          <t>酱料</t>
        </is>
      </c>
      <c r="B27" s="52" t="inlineStr">
        <is>
          <t>水豆豉</t>
        </is>
      </c>
      <c r="C27" s="22" t="inlineStr">
        <is>
          <t>网采</t>
        </is>
      </c>
      <c r="D27" s="22" t="inlineStr">
        <is>
          <t>贵山辣</t>
        </is>
      </c>
      <c r="E27" s="52" t="inlineStr">
        <is>
          <t>610g/瓶</t>
        </is>
      </c>
      <c r="F27" s="26" t="n">
        <v>610</v>
      </c>
      <c r="G27" s="187" t="n">
        <v>7.13</v>
      </c>
      <c r="H27" s="57" t="inlineStr">
        <is>
          <t>冷藏</t>
        </is>
      </c>
      <c r="I27" t="n">
        <v>1</v>
      </c>
      <c r="J27" t="n">
        <v>0.011689</v>
      </c>
      <c r="K27" s="28" t="n"/>
      <c r="L27" s="5" t="inlineStr">
        <is>
          <t>酱料</t>
        </is>
      </c>
      <c r="M27" s="57" t="n"/>
      <c r="N27" s="22" t="n"/>
      <c r="O27" s="39" t="n"/>
      <c r="P27" s="39" t="n"/>
      <c r="Q27" s="39" t="n"/>
      <c r="R27" s="39" t="n"/>
      <c r="S27" s="39" t="n"/>
      <c r="T27" s="39" t="n"/>
      <c r="U27" s="39" t="n"/>
      <c r="V27" s="39" t="n"/>
      <c r="W27" s="39" t="n"/>
      <c r="X27" s="39" t="n"/>
    </row>
    <row r="28" ht="17.6" customHeight="1" s="170">
      <c r="A28" s="5" t="inlineStr">
        <is>
          <t>干杂</t>
        </is>
      </c>
      <c r="B28" s="52" t="inlineStr">
        <is>
          <t>黄天鹅无菌蛋</t>
        </is>
      </c>
      <c r="C28" s="22" t="inlineStr">
        <is>
          <t>集采</t>
        </is>
      </c>
      <c r="D28" s="23" t="n"/>
      <c r="E28" s="52" t="inlineStr">
        <is>
          <t>个</t>
        </is>
      </c>
      <c r="F28" s="26" t="n">
        <v>1</v>
      </c>
      <c r="G28" s="187" t="n">
        <v>1.89</v>
      </c>
      <c r="H28" s="57" t="inlineStr">
        <is>
          <t>常温15天</t>
        </is>
      </c>
      <c r="I28" t="n">
        <v>1</v>
      </c>
      <c r="J28" t="n">
        <v>1.89</v>
      </c>
      <c r="K28" s="28" t="inlineStr">
        <is>
          <t>单位：个</t>
        </is>
      </c>
      <c r="L28" s="5" t="inlineStr">
        <is>
          <t>干杂</t>
        </is>
      </c>
      <c r="M28" s="57" t="n"/>
      <c r="N28" s="22" t="n"/>
      <c r="O28" s="39" t="n"/>
      <c r="P28" s="39" t="n"/>
      <c r="Q28" s="39" t="n"/>
      <c r="R28" s="39" t="n"/>
      <c r="S28" s="39" t="n"/>
      <c r="T28" s="39" t="n"/>
      <c r="U28" s="39" t="n"/>
      <c r="V28" s="39" t="n"/>
      <c r="W28" s="39" t="n"/>
      <c r="X28" s="39" t="n"/>
    </row>
    <row r="29" ht="17.6" customHeight="1" s="170">
      <c r="A29" s="5" t="inlineStr">
        <is>
          <t>干杂</t>
        </is>
      </c>
      <c r="B29" s="52" t="inlineStr">
        <is>
          <t>玫瑰乳扇</t>
        </is>
      </c>
      <c r="C29" s="22" t="inlineStr">
        <is>
          <t>网采</t>
        </is>
      </c>
      <c r="D29" s="22" t="inlineStr">
        <is>
          <t>极丝食品旗舰店</t>
        </is>
      </c>
      <c r="E29" s="12" t="inlineStr">
        <is>
          <t>500g/袋</t>
        </is>
      </c>
      <c r="F29" s="26" t="n">
        <v>500</v>
      </c>
      <c r="G29" s="187" t="n">
        <v>34.2</v>
      </c>
      <c r="H29" s="57" t="inlineStr">
        <is>
          <t>冷藏</t>
        </is>
      </c>
      <c r="I29" t="n">
        <v>1</v>
      </c>
      <c r="J29" t="n">
        <v>0.0684</v>
      </c>
      <c r="K29" s="28" t="n"/>
      <c r="L29" s="5" t="inlineStr">
        <is>
          <t>干杂</t>
        </is>
      </c>
      <c r="M29" s="57" t="n"/>
      <c r="N29" s="22" t="n"/>
      <c r="O29" s="39" t="n"/>
      <c r="P29" s="39" t="n"/>
      <c r="Q29" s="39" t="n"/>
      <c r="R29" s="39" t="n"/>
      <c r="S29" s="39" t="n"/>
      <c r="T29" s="39" t="n"/>
      <c r="U29" s="39" t="n"/>
      <c r="V29" s="39" t="n"/>
      <c r="W29" s="39" t="n"/>
      <c r="X29" s="39" t="n"/>
    </row>
    <row r="30" ht="17.6" customHeight="1" s="170">
      <c r="A30" s="5" t="inlineStr">
        <is>
          <t>酱料</t>
        </is>
      </c>
      <c r="B30" s="52" t="inlineStr">
        <is>
          <t>玫瑰酱</t>
        </is>
      </c>
      <c r="C30" s="52" t="inlineStr">
        <is>
          <t>网采</t>
        </is>
      </c>
      <c r="D30" s="52" t="inlineStr">
        <is>
          <t>觅滇食品专营店</t>
        </is>
      </c>
      <c r="E30" s="12" t="inlineStr">
        <is>
          <t>5000g/瓶</t>
        </is>
      </c>
      <c r="F30" s="26" t="n">
        <v>5000</v>
      </c>
      <c r="G30" s="187" t="n">
        <v>64.5</v>
      </c>
      <c r="H30" s="57" t="inlineStr">
        <is>
          <t>冷藏</t>
        </is>
      </c>
      <c r="I30" t="n">
        <v>1</v>
      </c>
      <c r="J30" t="n">
        <v>0.0129</v>
      </c>
      <c r="K30" s="28" t="n"/>
      <c r="L30" s="5" t="inlineStr">
        <is>
          <t>酱料</t>
        </is>
      </c>
      <c r="M30" s="57" t="n"/>
      <c r="N30" s="52" t="n"/>
      <c r="O30" s="39" t="n"/>
      <c r="P30" s="39" t="n"/>
      <c r="Q30" s="39" t="n"/>
      <c r="R30" s="39" t="n"/>
      <c r="S30" s="39" t="n"/>
      <c r="T30" s="39" t="n"/>
      <c r="U30" s="39" t="n"/>
      <c r="V30" s="39" t="n"/>
      <c r="W30" s="39" t="n"/>
      <c r="X30" s="39" t="n"/>
    </row>
    <row r="31" ht="17.6" customHeight="1" s="170">
      <c r="A31" s="5" t="inlineStr">
        <is>
          <t>酱料</t>
        </is>
      </c>
      <c r="B31" s="52" t="inlineStr">
        <is>
          <t>百香果原汁</t>
        </is>
      </c>
      <c r="C31" s="52" t="inlineStr">
        <is>
          <t>网采</t>
        </is>
      </c>
      <c r="D31" s="52" t="inlineStr">
        <is>
          <t>嘉优鲜果园</t>
        </is>
      </c>
      <c r="E31" s="12" t="inlineStr">
        <is>
          <t>10斤/80.8元</t>
        </is>
      </c>
      <c r="F31" s="26" t="n">
        <v>500</v>
      </c>
      <c r="G31" s="187" t="n">
        <v>8.08</v>
      </c>
      <c r="H31" s="57" t="inlineStr">
        <is>
          <t>冷藏</t>
        </is>
      </c>
      <c r="I31" t="n">
        <v>1</v>
      </c>
      <c r="J31" t="n">
        <v>0.01616</v>
      </c>
      <c r="K31" s="28" t="n"/>
      <c r="L31" s="5" t="inlineStr">
        <is>
          <t>酱料</t>
        </is>
      </c>
      <c r="M31" s="57" t="n"/>
      <c r="N31" s="52" t="n"/>
      <c r="O31" s="39" t="n"/>
      <c r="P31" s="39" t="n"/>
      <c r="Q31" s="39" t="n"/>
      <c r="R31" s="39" t="n"/>
      <c r="S31" s="39" t="n"/>
      <c r="T31" s="39" t="n"/>
      <c r="U31" s="39" t="n"/>
      <c r="V31" s="39" t="n"/>
      <c r="W31" s="39" t="n"/>
      <c r="X31" s="39" t="n"/>
    </row>
    <row r="32" ht="17.6" customHeight="1" s="170">
      <c r="A32" s="5" t="inlineStr">
        <is>
          <t>干杂</t>
        </is>
      </c>
      <c r="B32" s="52" t="inlineStr">
        <is>
          <t>干巴菌</t>
        </is>
      </c>
      <c r="C32" s="52" t="inlineStr">
        <is>
          <t>网采</t>
        </is>
      </c>
      <c r="D32" s="7" t="n"/>
      <c r="E32" s="12" t="inlineStr">
        <is>
          <t>2斤/250元</t>
        </is>
      </c>
      <c r="F32" s="26" t="n">
        <v>500</v>
      </c>
      <c r="G32" s="187" t="n">
        <v>130</v>
      </c>
      <c r="H32" s="57" t="inlineStr">
        <is>
          <t>常温</t>
        </is>
      </c>
      <c r="I32" t="n">
        <v>1</v>
      </c>
      <c r="J32" t="n">
        <v>0.26</v>
      </c>
      <c r="K32" s="28" t="n"/>
      <c r="L32" s="5" t="inlineStr">
        <is>
          <t>干杂</t>
        </is>
      </c>
      <c r="M32" s="57" t="n"/>
      <c r="N32" s="52" t="n"/>
      <c r="O32" s="39" t="n"/>
      <c r="P32" s="39" t="n"/>
      <c r="Q32" s="39" t="n"/>
      <c r="R32" s="39" t="n"/>
      <c r="S32" s="39" t="n"/>
      <c r="T32" s="39" t="n"/>
      <c r="U32" s="39" t="n"/>
      <c r="V32" s="39" t="n"/>
      <c r="W32" s="39" t="n"/>
      <c r="X32" s="39" t="n"/>
    </row>
    <row r="33" ht="17.6" customHeight="1" s="170">
      <c r="A33" s="5" t="inlineStr">
        <is>
          <t>干杂</t>
        </is>
      </c>
      <c r="B33" s="52" t="inlineStr">
        <is>
          <t>干玫瑰花</t>
        </is>
      </c>
      <c r="C33" s="52" t="inlineStr">
        <is>
          <t>网采</t>
        </is>
      </c>
      <c r="D33" s="7" t="n"/>
      <c r="E33" s="7" t="n"/>
      <c r="F33" s="26" t="n">
        <v>500</v>
      </c>
      <c r="G33" s="187" t="n">
        <v>75</v>
      </c>
      <c r="H33" s="57" t="inlineStr">
        <is>
          <t>常温</t>
        </is>
      </c>
      <c r="I33" t="n">
        <v>1</v>
      </c>
      <c r="J33" t="n">
        <v>0.236</v>
      </c>
      <c r="K33" s="28" t="n"/>
      <c r="L33" s="5" t="inlineStr">
        <is>
          <t>干杂</t>
        </is>
      </c>
      <c r="M33" s="57" t="n"/>
      <c r="N33" s="52" t="n"/>
      <c r="O33" s="39" t="n"/>
      <c r="P33" s="39" t="n"/>
      <c r="Q33" s="39" t="n"/>
      <c r="R33" s="39" t="n"/>
      <c r="S33" s="39" t="n"/>
      <c r="T33" s="39" t="n"/>
      <c r="U33" s="39" t="n"/>
      <c r="V33" s="39" t="n"/>
      <c r="W33" s="39" t="n"/>
      <c r="X33" s="39" t="n"/>
    </row>
    <row r="34" ht="17.6" customHeight="1" s="170">
      <c r="A34" s="93" t="inlineStr">
        <is>
          <t>肉类</t>
        </is>
      </c>
      <c r="B34" s="52" t="inlineStr">
        <is>
          <t>宣威火腿</t>
        </is>
      </c>
      <c r="C34" s="52" t="inlineStr">
        <is>
          <t>网采</t>
        </is>
      </c>
      <c r="D34" s="7" t="n"/>
      <c r="E34" s="12" t="inlineStr">
        <is>
          <t>500g/块</t>
        </is>
      </c>
      <c r="F34" s="26" t="n">
        <v>500</v>
      </c>
      <c r="G34" s="187" t="n">
        <v>36.96</v>
      </c>
      <c r="H34" s="57" t="inlineStr">
        <is>
          <t>冷藏</t>
        </is>
      </c>
      <c r="I34" t="n">
        <v>0.9</v>
      </c>
      <c r="J34" t="n">
        <v>0.07392</v>
      </c>
      <c r="K34" s="28" t="n"/>
      <c r="L34" s="93" t="inlineStr">
        <is>
          <t>肉类</t>
        </is>
      </c>
      <c r="M34" s="57" t="n"/>
      <c r="N34" s="52" t="n"/>
      <c r="O34" s="39" t="n"/>
      <c r="P34" s="39" t="n"/>
      <c r="Q34" s="39" t="n"/>
      <c r="R34" s="39" t="n"/>
      <c r="S34" s="39" t="n"/>
      <c r="T34" s="39" t="n"/>
      <c r="U34" s="39" t="n"/>
      <c r="V34" s="39" t="n"/>
      <c r="W34" s="39" t="n"/>
      <c r="X34" s="39" t="n"/>
    </row>
    <row r="35" ht="17.6" customHeight="1" s="170">
      <c r="A35" s="5" t="inlineStr">
        <is>
          <t>干杂</t>
        </is>
      </c>
      <c r="B35" s="52" t="inlineStr">
        <is>
          <t>帕玛森干酪</t>
        </is>
      </c>
      <c r="C35" s="57" t="inlineStr">
        <is>
          <t>网采</t>
        </is>
      </c>
      <c r="D35" s="7" t="n"/>
      <c r="E35" s="12" t="inlineStr">
        <is>
          <t>200g/块</t>
        </is>
      </c>
      <c r="F35" s="26" t="n">
        <v>200</v>
      </c>
      <c r="G35" s="187" t="n">
        <v>27.6</v>
      </c>
      <c r="H35" s="28" t="n"/>
      <c r="I35" t="n">
        <v>1</v>
      </c>
      <c r="J35" t="n">
        <v>0.149</v>
      </c>
      <c r="K35" s="28" t="n"/>
      <c r="L35" s="5" t="inlineStr">
        <is>
          <t>干杂</t>
        </is>
      </c>
      <c r="M35" s="57" t="n"/>
      <c r="N35" s="57" t="n"/>
      <c r="O35" s="39" t="n"/>
      <c r="P35" s="39" t="n"/>
      <c r="Q35" s="39" t="n"/>
      <c r="R35" s="39" t="n"/>
      <c r="S35" s="39" t="n"/>
      <c r="T35" s="39" t="n"/>
      <c r="U35" s="39" t="n"/>
      <c r="V35" s="39" t="n"/>
      <c r="W35" s="39" t="n"/>
      <c r="X35" s="39" t="n"/>
    </row>
    <row r="36" ht="17.6" customHeight="1" s="170">
      <c r="A36" s="5" t="inlineStr">
        <is>
          <t>干杂</t>
        </is>
      </c>
      <c r="B36" s="52" t="inlineStr">
        <is>
          <t>香草冰淇淋</t>
        </is>
      </c>
      <c r="C36" s="52" t="inlineStr">
        <is>
          <t>网采</t>
        </is>
      </c>
      <c r="D36" s="7" t="n"/>
      <c r="E36" s="12" t="inlineStr">
        <is>
          <t>3.5kg/桶</t>
        </is>
      </c>
      <c r="F36" s="26">
        <f>7*500</f>
        <v/>
      </c>
      <c r="G36" s="187" t="n">
        <v>120</v>
      </c>
      <c r="H36" s="28" t="n"/>
      <c r="I36" t="n">
        <v>1</v>
      </c>
      <c r="K36" s="28" t="n"/>
      <c r="L36" s="5" t="inlineStr">
        <is>
          <t>干杂</t>
        </is>
      </c>
      <c r="M36" s="57" t="n"/>
      <c r="N36" s="52" t="n"/>
      <c r="O36" s="39" t="n"/>
      <c r="P36" s="39" t="n"/>
      <c r="Q36" s="39" t="n"/>
      <c r="R36" s="39" t="n"/>
      <c r="S36" s="39" t="n"/>
      <c r="T36" s="39" t="n"/>
      <c r="U36" s="39" t="n"/>
      <c r="V36" s="39" t="n"/>
      <c r="W36" s="39" t="n"/>
      <c r="X36" s="39" t="n"/>
    </row>
    <row r="37" ht="17.6" customHeight="1" s="170">
      <c r="A37" s="5" t="inlineStr">
        <is>
          <t>干杂</t>
        </is>
      </c>
      <c r="B37" s="52" t="inlineStr">
        <is>
          <t>碧根果碎</t>
        </is>
      </c>
      <c r="C37" s="52" t="inlineStr">
        <is>
          <t>网采</t>
        </is>
      </c>
      <c r="D37" s="7" t="n"/>
      <c r="E37" s="12" t="inlineStr">
        <is>
          <t>500g*2罐/60元</t>
        </is>
      </c>
      <c r="F37" s="26" t="n">
        <v>500</v>
      </c>
      <c r="G37" s="187" t="n">
        <v>30</v>
      </c>
      <c r="H37" s="28" t="n"/>
      <c r="I37" t="n">
        <v>1</v>
      </c>
      <c r="J37" t="n">
        <v>0.06</v>
      </c>
      <c r="K37" s="28" t="n"/>
      <c r="L37" s="5" t="inlineStr">
        <is>
          <t>干杂</t>
        </is>
      </c>
      <c r="M37" s="57" t="n"/>
      <c r="N37" s="52" t="n"/>
      <c r="O37" s="39" t="n"/>
      <c r="P37" s="39" t="n"/>
      <c r="Q37" s="39" t="n"/>
      <c r="R37" s="39" t="n"/>
      <c r="S37" s="39" t="n"/>
      <c r="T37" s="39" t="n"/>
      <c r="U37" s="39" t="n"/>
      <c r="V37" s="39" t="n"/>
      <c r="W37" s="39" t="n"/>
      <c r="X37" s="39" t="n"/>
    </row>
    <row r="38" ht="17.6" customHeight="1" s="170">
      <c r="A38" s="91" t="inlineStr">
        <is>
          <t>干杂</t>
        </is>
      </c>
      <c r="B38" s="52" t="inlineStr">
        <is>
          <t>刺梨果干</t>
        </is>
      </c>
      <c r="C38" s="12" t="inlineStr">
        <is>
          <t>网采</t>
        </is>
      </c>
      <c r="D38" s="7" t="n"/>
      <c r="E38" s="12" t="inlineStr">
        <is>
          <t>450g/罐</t>
        </is>
      </c>
      <c r="F38" s="26" t="n">
        <v>450</v>
      </c>
      <c r="G38" s="187" t="n">
        <v>12.4</v>
      </c>
      <c r="H38" s="52" t="inlineStr">
        <is>
          <t>常温</t>
        </is>
      </c>
      <c r="I38" t="n">
        <v>1</v>
      </c>
      <c r="J38" t="n">
        <v>0.027556</v>
      </c>
      <c r="K38" s="28" t="n"/>
      <c r="L38" s="91" t="inlineStr">
        <is>
          <t>干杂</t>
        </is>
      </c>
      <c r="M38" s="57" t="n"/>
      <c r="N38" s="12" t="n"/>
      <c r="O38" s="39" t="n"/>
      <c r="P38" s="39" t="n"/>
      <c r="Q38" s="39" t="n"/>
      <c r="R38" s="39" t="n"/>
      <c r="S38" s="39" t="n"/>
      <c r="T38" s="39" t="n"/>
      <c r="U38" s="39" t="n"/>
      <c r="V38" s="39" t="n"/>
      <c r="W38" s="39" t="n"/>
      <c r="X38" s="39" t="n"/>
    </row>
    <row r="39" ht="17.6" customHeight="1" s="170">
      <c r="A39" s="91" t="inlineStr">
        <is>
          <t>糖水铺</t>
        </is>
      </c>
      <c r="B39" s="52" t="inlineStr">
        <is>
          <t>刺梨原浆</t>
        </is>
      </c>
      <c r="C39" s="12" t="inlineStr">
        <is>
          <t>网采</t>
        </is>
      </c>
      <c r="D39" s="7" t="n"/>
      <c r="E39" s="12" t="inlineStr">
        <is>
          <t>200ml/袋*10袋/件</t>
        </is>
      </c>
      <c r="F39" s="26" t="n">
        <v>200</v>
      </c>
      <c r="G39" s="187">
        <f>47.41/10</f>
        <v/>
      </c>
      <c r="H39" s="28" t="n"/>
      <c r="I39" t="n">
        <v>1</v>
      </c>
      <c r="K39" s="28" t="n"/>
      <c r="L39" s="91" t="inlineStr">
        <is>
          <t>糖水铺</t>
        </is>
      </c>
      <c r="M39" s="57" t="n"/>
      <c r="N39" s="12" t="n"/>
      <c r="O39" s="39" t="n"/>
      <c r="P39" s="39" t="n"/>
      <c r="Q39" s="39" t="n"/>
      <c r="R39" s="39" t="n"/>
      <c r="S39" s="39" t="n"/>
      <c r="T39" s="39" t="n"/>
      <c r="U39" s="39" t="n"/>
      <c r="V39" s="39" t="n"/>
      <c r="W39" s="39" t="n"/>
      <c r="X39" s="39" t="n"/>
    </row>
    <row r="40" ht="17.6" customHeight="1" s="170">
      <c r="A40" s="5" t="inlineStr">
        <is>
          <t>蔬菜</t>
        </is>
      </c>
      <c r="B40" s="52" t="inlineStr">
        <is>
          <t>水蜜桃</t>
        </is>
      </c>
      <c r="C40" s="52" t="inlineStr">
        <is>
          <t>绵阳水果</t>
        </is>
      </c>
      <c r="D40" s="7" t="n"/>
      <c r="E40" s="7" t="n"/>
      <c r="F40" s="26" t="n">
        <v>500</v>
      </c>
      <c r="G40" s="187" t="n">
        <v>25</v>
      </c>
      <c r="H40" s="57" t="inlineStr">
        <is>
          <t>冷藏</t>
        </is>
      </c>
      <c r="I40" t="n">
        <v>0.9</v>
      </c>
      <c r="J40" t="n">
        <v>0.05</v>
      </c>
      <c r="K40" s="28" t="n"/>
      <c r="L40" s="5" t="inlineStr">
        <is>
          <t>蔬菜</t>
        </is>
      </c>
      <c r="M40" s="57" t="n"/>
      <c r="N40" s="12" t="inlineStr">
        <is>
          <t>先款后货</t>
        </is>
      </c>
      <c r="O40" s="39" t="n"/>
      <c r="P40" s="39" t="n"/>
      <c r="Q40" s="39" t="n"/>
      <c r="R40" s="39" t="n"/>
      <c r="S40" s="39" t="n"/>
      <c r="T40" s="39" t="n"/>
      <c r="U40" s="39" t="n"/>
      <c r="V40" s="39" t="n"/>
      <c r="W40" s="39" t="n"/>
      <c r="X40" s="39" t="n"/>
    </row>
    <row r="41" ht="17.6" customHeight="1" s="170">
      <c r="A41" s="5" t="inlineStr">
        <is>
          <t>蔬菜</t>
        </is>
      </c>
      <c r="B41" s="52" t="inlineStr">
        <is>
          <t>荔枝</t>
        </is>
      </c>
      <c r="C41" s="52" t="inlineStr">
        <is>
          <t>绵阳水果</t>
        </is>
      </c>
      <c r="D41" s="7" t="n"/>
      <c r="E41" s="52" t="inlineStr">
        <is>
          <t>颗</t>
        </is>
      </c>
      <c r="F41" s="26" t="n">
        <v>1</v>
      </c>
      <c r="G41" s="187" t="n">
        <v>0.3</v>
      </c>
      <c r="H41" s="57" t="inlineStr">
        <is>
          <t>冷藏</t>
        </is>
      </c>
      <c r="I41" t="n">
        <v>1</v>
      </c>
      <c r="J41" t="n">
        <v>0.3</v>
      </c>
      <c r="K41" s="28" t="inlineStr">
        <is>
          <t>颗</t>
        </is>
      </c>
      <c r="L41" s="5" t="inlineStr">
        <is>
          <t>蔬菜</t>
        </is>
      </c>
      <c r="M41" s="57" t="n"/>
      <c r="N41" s="12" t="inlineStr">
        <is>
          <t>先款后货</t>
        </is>
      </c>
      <c r="O41" s="39" t="n"/>
      <c r="P41" s="39" t="n"/>
      <c r="Q41" s="39" t="n"/>
      <c r="R41" s="39" t="n"/>
      <c r="S41" s="39" t="n"/>
      <c r="T41" s="39" t="n"/>
      <c r="U41" s="39" t="n"/>
      <c r="V41" s="39" t="n"/>
      <c r="W41" s="39" t="n"/>
      <c r="X41" s="39" t="n"/>
    </row>
    <row r="42" ht="17.6" customHeight="1" s="170">
      <c r="A42" s="5" t="inlineStr">
        <is>
          <t>肉类</t>
        </is>
      </c>
      <c r="B42" s="52" t="inlineStr">
        <is>
          <t>猪蹄</t>
        </is>
      </c>
      <c r="C42" s="12" t="inlineStr">
        <is>
          <t>2.绵阳蔬菜</t>
        </is>
      </c>
      <c r="D42" s="7" t="n"/>
      <c r="E42" s="12" t="inlineStr">
        <is>
          <t>称重</t>
        </is>
      </c>
      <c r="F42" s="26" t="n">
        <v>500</v>
      </c>
      <c r="G42" s="187" t="n">
        <v>21</v>
      </c>
      <c r="H42" s="57" t="inlineStr">
        <is>
          <t>冷藏</t>
        </is>
      </c>
      <c r="I42" t="n">
        <v>0.9</v>
      </c>
      <c r="J42" t="n">
        <v>0.042</v>
      </c>
      <c r="K42" s="28" t="n"/>
      <c r="L42" s="5" t="inlineStr">
        <is>
          <t>肉类</t>
        </is>
      </c>
      <c r="M42" s="57" t="n"/>
      <c r="N42" s="12" t="inlineStr">
        <is>
          <t>月付</t>
        </is>
      </c>
      <c r="O42" s="39" t="n"/>
      <c r="P42" s="39" t="n"/>
      <c r="Q42" s="39" t="n"/>
      <c r="R42" s="39" t="n"/>
      <c r="S42" s="39" t="n"/>
      <c r="T42" s="39" t="n"/>
      <c r="U42" s="39" t="n"/>
      <c r="V42" s="39" t="n"/>
      <c r="W42" s="39" t="n"/>
      <c r="X42" s="39" t="n"/>
    </row>
    <row r="43" ht="17.6" customHeight="1" s="170">
      <c r="A43" s="5" t="inlineStr">
        <is>
          <t>肉类</t>
        </is>
      </c>
      <c r="B43" s="52" t="inlineStr">
        <is>
          <t>鸡爪</t>
        </is>
      </c>
      <c r="C43" s="12" t="inlineStr">
        <is>
          <t>2.绵阳蔬菜</t>
        </is>
      </c>
      <c r="D43" s="7" t="n"/>
      <c r="E43" s="12" t="inlineStr">
        <is>
          <t>称重</t>
        </is>
      </c>
      <c r="F43" s="26" t="n">
        <v>500</v>
      </c>
      <c r="G43" s="187" t="n">
        <v>24</v>
      </c>
      <c r="H43" s="57" t="inlineStr">
        <is>
          <t>冷藏</t>
        </is>
      </c>
      <c r="I43" t="n">
        <v>0.75</v>
      </c>
      <c r="J43" t="n">
        <v>0.048</v>
      </c>
      <c r="K43" s="28" t="n"/>
      <c r="L43" s="5" t="inlineStr">
        <is>
          <t>肉类</t>
        </is>
      </c>
      <c r="M43" s="57" t="n"/>
      <c r="N43" s="12" t="inlineStr">
        <is>
          <t>月付</t>
        </is>
      </c>
      <c r="O43" s="39" t="n"/>
      <c r="P43" s="39" t="n"/>
      <c r="Q43" s="39" t="n"/>
      <c r="R43" s="39" t="n"/>
      <c r="S43" s="39" t="n"/>
      <c r="T43" s="39" t="n"/>
      <c r="U43" s="39" t="n"/>
      <c r="V43" s="39" t="n"/>
      <c r="W43" s="39" t="n"/>
      <c r="X43" s="39" t="n"/>
    </row>
    <row r="44" ht="17.6" customHeight="1" s="170">
      <c r="A44" s="5" t="inlineStr">
        <is>
          <t>蔬菜</t>
        </is>
      </c>
      <c r="B44" s="52" t="inlineStr">
        <is>
          <t>鲜板栗</t>
        </is>
      </c>
      <c r="C44" s="12" t="inlineStr">
        <is>
          <t>2.绵阳蔬菜</t>
        </is>
      </c>
      <c r="D44" s="7" t="n"/>
      <c r="E44" s="12" t="inlineStr">
        <is>
          <t>称重</t>
        </is>
      </c>
      <c r="F44" s="26" t="n">
        <v>500</v>
      </c>
      <c r="G44" s="187" t="n">
        <v>10</v>
      </c>
      <c r="H44" s="57" t="inlineStr">
        <is>
          <t>冷藏</t>
        </is>
      </c>
      <c r="I44" t="n">
        <v>1</v>
      </c>
      <c r="J44" t="n">
        <v>0.02</v>
      </c>
      <c r="K44" s="28" t="n"/>
      <c r="L44" s="5" t="inlineStr">
        <is>
          <t>蔬菜</t>
        </is>
      </c>
      <c r="M44" s="57" t="n"/>
      <c r="N44" s="12" t="inlineStr">
        <is>
          <t>月付</t>
        </is>
      </c>
      <c r="O44" s="39" t="n"/>
      <c r="P44" s="39" t="n"/>
      <c r="Q44" s="39" t="n"/>
      <c r="R44" s="39" t="n"/>
      <c r="S44" s="39" t="n"/>
      <c r="T44" s="39" t="n"/>
      <c r="U44" s="39" t="n"/>
      <c r="V44" s="39" t="n"/>
      <c r="W44" s="39" t="n"/>
      <c r="X44" s="39" t="n"/>
    </row>
    <row r="45" ht="17.6" customHeight="1" s="170">
      <c r="A45" s="5" t="inlineStr">
        <is>
          <t>蔬菜</t>
        </is>
      </c>
      <c r="B45" s="52" t="inlineStr">
        <is>
          <t>鲜百合</t>
        </is>
      </c>
      <c r="C45" s="12" t="inlineStr">
        <is>
          <t>2.绵阳蔬菜</t>
        </is>
      </c>
      <c r="D45" s="7" t="n"/>
      <c r="E45" s="52" t="inlineStr">
        <is>
          <t>60g/袋</t>
        </is>
      </c>
      <c r="F45" s="26" t="n">
        <v>60</v>
      </c>
      <c r="G45" s="187" t="n">
        <v>10</v>
      </c>
      <c r="H45" s="57" t="inlineStr">
        <is>
          <t>冷藏</t>
        </is>
      </c>
      <c r="I45" t="n">
        <v>0.9</v>
      </c>
      <c r="J45" t="n">
        <v>0.166667</v>
      </c>
      <c r="K45" s="28" t="n"/>
      <c r="L45" s="5" t="inlineStr">
        <is>
          <t>蔬菜</t>
        </is>
      </c>
      <c r="M45" s="57" t="n"/>
      <c r="N45" s="12" t="inlineStr">
        <is>
          <t>月付</t>
        </is>
      </c>
      <c r="O45" s="39" t="n"/>
      <c r="P45" s="39" t="n"/>
      <c r="Q45" s="39" t="n"/>
      <c r="R45" s="39" t="n"/>
      <c r="S45" s="39" t="n"/>
      <c r="T45" s="39" t="n"/>
      <c r="U45" s="39" t="n"/>
      <c r="V45" s="39" t="n"/>
      <c r="W45" s="39" t="n"/>
      <c r="X45" s="39" t="n"/>
    </row>
    <row r="46" ht="17.6" customHeight="1" s="170">
      <c r="A46" s="5" t="inlineStr">
        <is>
          <t>蔬菜</t>
        </is>
      </c>
      <c r="B46" s="52" t="inlineStr">
        <is>
          <t>血皮菜</t>
        </is>
      </c>
      <c r="C46" s="12" t="inlineStr">
        <is>
          <t>2.绵阳蔬菜</t>
        </is>
      </c>
      <c r="D46" s="7" t="n"/>
      <c r="E46" s="12" t="inlineStr">
        <is>
          <t>称重</t>
        </is>
      </c>
      <c r="F46" s="26" t="n">
        <v>500</v>
      </c>
      <c r="G46" s="187" t="n">
        <v>5</v>
      </c>
      <c r="H46" s="57" t="inlineStr">
        <is>
          <t>冷藏</t>
        </is>
      </c>
      <c r="I46" t="n">
        <v>0.9</v>
      </c>
      <c r="J46" t="n">
        <v>0.01</v>
      </c>
      <c r="K46" s="28" t="n"/>
      <c r="L46" s="5" t="inlineStr">
        <is>
          <t>蔬菜</t>
        </is>
      </c>
      <c r="M46" s="57" t="n"/>
      <c r="N46" s="12" t="inlineStr">
        <is>
          <t>月付</t>
        </is>
      </c>
      <c r="O46" s="39" t="n"/>
      <c r="P46" s="39" t="n"/>
      <c r="Q46" s="39" t="n"/>
      <c r="R46" s="39" t="n"/>
      <c r="S46" s="39" t="n"/>
      <c r="T46" s="39" t="n"/>
      <c r="U46" s="39" t="n"/>
      <c r="V46" s="39" t="n"/>
      <c r="W46" s="39" t="n"/>
      <c r="X46" s="39" t="n"/>
    </row>
    <row r="47" ht="17.6" customHeight="1" s="170">
      <c r="A47" s="5" t="inlineStr">
        <is>
          <t>蔬菜</t>
        </is>
      </c>
      <c r="B47" s="52" t="inlineStr">
        <is>
          <t>鲜黄花</t>
        </is>
      </c>
      <c r="C47" s="12" t="inlineStr">
        <is>
          <t>2.绵阳蔬菜</t>
        </is>
      </c>
      <c r="D47" s="7" t="n"/>
      <c r="E47" s="12" t="inlineStr">
        <is>
          <t>称重</t>
        </is>
      </c>
      <c r="F47" s="26" t="n">
        <v>500</v>
      </c>
      <c r="G47" s="187" t="n">
        <v>30</v>
      </c>
      <c r="H47" s="57" t="inlineStr">
        <is>
          <t>冷藏</t>
        </is>
      </c>
      <c r="I47" t="n">
        <v>0.9</v>
      </c>
      <c r="J47" t="n">
        <v>0.06</v>
      </c>
      <c r="K47" s="28" t="n"/>
      <c r="L47" s="5" t="inlineStr">
        <is>
          <t>蔬菜</t>
        </is>
      </c>
      <c r="M47" s="57" t="n"/>
      <c r="N47" s="12" t="inlineStr">
        <is>
          <t>月付</t>
        </is>
      </c>
      <c r="O47" s="39" t="n"/>
      <c r="P47" s="39" t="n"/>
      <c r="Q47" s="39" t="n"/>
      <c r="R47" s="39" t="n"/>
      <c r="S47" s="39" t="n"/>
      <c r="T47" s="39" t="n"/>
      <c r="U47" s="39" t="n"/>
      <c r="V47" s="39" t="n"/>
      <c r="W47" s="39" t="n"/>
      <c r="X47" s="39" t="n"/>
    </row>
    <row r="48" ht="17.6" customHeight="1" s="170">
      <c r="A48" s="5" t="inlineStr">
        <is>
          <t>蔬菜</t>
        </is>
      </c>
      <c r="B48" s="52" t="inlineStr">
        <is>
          <t>粗山药</t>
        </is>
      </c>
      <c r="C48" s="12" t="inlineStr">
        <is>
          <t>2.绵阳蔬菜</t>
        </is>
      </c>
      <c r="D48" s="7" t="n"/>
      <c r="E48" s="12" t="inlineStr">
        <is>
          <t>称重</t>
        </is>
      </c>
      <c r="F48" s="26" t="n">
        <v>500</v>
      </c>
      <c r="G48" s="187" t="n">
        <v>3.5</v>
      </c>
      <c r="H48" s="57" t="inlineStr">
        <is>
          <t>常温</t>
        </is>
      </c>
      <c r="I48" t="n">
        <v>0.9</v>
      </c>
      <c r="J48" t="n">
        <v>0.007</v>
      </c>
      <c r="K48" s="28" t="n"/>
      <c r="L48" s="5" t="inlineStr">
        <is>
          <t>蔬菜</t>
        </is>
      </c>
      <c r="M48" s="57" t="n"/>
      <c r="N48" s="12" t="inlineStr">
        <is>
          <t>月付</t>
        </is>
      </c>
      <c r="O48" s="39" t="n"/>
      <c r="P48" s="39" t="n"/>
      <c r="Q48" s="39" t="n"/>
      <c r="R48" s="39" t="n"/>
      <c r="S48" s="39" t="n"/>
      <c r="T48" s="39" t="n"/>
      <c r="U48" s="39" t="n"/>
      <c r="V48" s="39" t="n"/>
      <c r="W48" s="39" t="n"/>
      <c r="X48" s="39" t="n"/>
    </row>
    <row r="49" ht="17.6" customHeight="1" s="170">
      <c r="A49" s="5" t="inlineStr">
        <is>
          <t>蔬菜</t>
        </is>
      </c>
      <c r="B49" s="52" t="inlineStr">
        <is>
          <t>姜柄瓜</t>
        </is>
      </c>
      <c r="C49" s="12" t="inlineStr">
        <is>
          <t>2.绵阳蔬菜</t>
        </is>
      </c>
      <c r="D49" s="7" t="n"/>
      <c r="E49" s="12" t="inlineStr">
        <is>
          <t>称重</t>
        </is>
      </c>
      <c r="F49" s="32" t="n">
        <v>500</v>
      </c>
      <c r="G49" s="187" t="n">
        <v>8</v>
      </c>
      <c r="H49" s="57" t="inlineStr">
        <is>
          <t>冷藏</t>
        </is>
      </c>
      <c r="I49" t="n">
        <v>0.95</v>
      </c>
      <c r="J49" t="n">
        <v>0.016</v>
      </c>
      <c r="K49" s="28" t="n"/>
      <c r="L49" s="5" t="inlineStr">
        <is>
          <t>蔬菜</t>
        </is>
      </c>
      <c r="M49" s="57" t="n"/>
      <c r="N49" s="12" t="inlineStr">
        <is>
          <t>月付</t>
        </is>
      </c>
      <c r="O49" s="39" t="n"/>
      <c r="P49" s="39" t="n"/>
      <c r="Q49" s="39" t="n"/>
      <c r="R49" s="39" t="n"/>
      <c r="S49" s="39" t="n"/>
      <c r="T49" s="39" t="n"/>
      <c r="U49" s="39" t="n"/>
      <c r="V49" s="39" t="n"/>
      <c r="W49" s="39" t="n"/>
      <c r="X49" s="39" t="n"/>
    </row>
    <row r="50" ht="17.6" customHeight="1" s="170">
      <c r="A50" s="5" t="inlineStr">
        <is>
          <t>蔬菜</t>
        </is>
      </c>
      <c r="B50" s="52" t="inlineStr">
        <is>
          <t>花生芽</t>
        </is>
      </c>
      <c r="C50" s="12" t="inlineStr">
        <is>
          <t>2.绵阳蔬菜</t>
        </is>
      </c>
      <c r="D50" s="7" t="n"/>
      <c r="E50" s="52" t="inlineStr">
        <is>
          <t>230g/袋</t>
        </is>
      </c>
      <c r="F50" s="26" t="n">
        <v>230</v>
      </c>
      <c r="G50" s="187" t="n">
        <v>4.5</v>
      </c>
      <c r="H50" s="57" t="inlineStr">
        <is>
          <t>冷藏</t>
        </is>
      </c>
      <c r="I50" t="n">
        <v>0.95</v>
      </c>
      <c r="J50" t="n">
        <v>0.019565</v>
      </c>
      <c r="K50" s="28" t="n"/>
      <c r="L50" s="5" t="inlineStr">
        <is>
          <t>蔬菜</t>
        </is>
      </c>
      <c r="M50" s="57" t="n"/>
      <c r="N50" s="12" t="inlineStr">
        <is>
          <t>月付</t>
        </is>
      </c>
      <c r="O50" s="39" t="n"/>
      <c r="P50" s="39" t="n"/>
      <c r="Q50" s="39" t="n"/>
      <c r="R50" s="39" t="n"/>
      <c r="S50" s="39" t="n"/>
      <c r="T50" s="39" t="n"/>
      <c r="U50" s="39" t="n"/>
      <c r="V50" s="39" t="n"/>
      <c r="W50" s="39" t="n"/>
      <c r="X50" s="39" t="n"/>
    </row>
    <row r="51" ht="17.6" customHeight="1" s="170">
      <c r="A51" s="5" t="inlineStr">
        <is>
          <t>蔬菜</t>
        </is>
      </c>
      <c r="B51" s="52" t="inlineStr">
        <is>
          <t>七彩土豆</t>
        </is>
      </c>
      <c r="C51" s="12" t="inlineStr">
        <is>
          <t>2.绵阳蔬菜</t>
        </is>
      </c>
      <c r="D51" s="7" t="n"/>
      <c r="E51" s="12" t="inlineStr">
        <is>
          <t>称重</t>
        </is>
      </c>
      <c r="F51" s="26" t="n">
        <v>500</v>
      </c>
      <c r="G51" s="189" t="n">
        <v>3.5</v>
      </c>
      <c r="H51" s="57" t="inlineStr">
        <is>
          <t>常温</t>
        </is>
      </c>
      <c r="I51" t="n">
        <v>0.9</v>
      </c>
      <c r="J51" t="n">
        <v>0.007</v>
      </c>
      <c r="K51" s="28" t="n"/>
      <c r="L51" s="5" t="inlineStr">
        <is>
          <t>蔬菜</t>
        </is>
      </c>
      <c r="M51" s="57" t="n"/>
      <c r="N51" s="12" t="inlineStr">
        <is>
          <t>月付</t>
        </is>
      </c>
      <c r="O51" s="39" t="n"/>
      <c r="P51" s="39" t="n"/>
      <c r="Q51" s="39" t="n"/>
      <c r="R51" s="39" t="n"/>
      <c r="S51" s="39" t="n"/>
      <c r="T51" s="39" t="n"/>
      <c r="U51" s="39" t="n"/>
      <c r="V51" s="39" t="n"/>
      <c r="W51" s="39" t="n"/>
      <c r="X51" s="39" t="n"/>
    </row>
    <row r="52" ht="17.6" customHeight="1" s="170">
      <c r="A52" s="5" t="inlineStr">
        <is>
          <t>蔬菜</t>
        </is>
      </c>
      <c r="B52" s="52" t="inlineStr">
        <is>
          <t>藕</t>
        </is>
      </c>
      <c r="C52" s="12" t="inlineStr">
        <is>
          <t>2.绵阳蔬菜</t>
        </is>
      </c>
      <c r="D52" s="7" t="n"/>
      <c r="E52" s="12" t="inlineStr">
        <is>
          <t>称重</t>
        </is>
      </c>
      <c r="F52" s="26" t="n">
        <v>500</v>
      </c>
      <c r="G52" s="189" t="n">
        <v>5</v>
      </c>
      <c r="H52" s="57" t="inlineStr">
        <is>
          <t>常温</t>
        </is>
      </c>
      <c r="I52" t="n">
        <v>0.9</v>
      </c>
      <c r="J52" t="n">
        <v>0.01</v>
      </c>
      <c r="K52" s="28" t="n"/>
      <c r="L52" s="5" t="inlineStr">
        <is>
          <t>蔬菜</t>
        </is>
      </c>
      <c r="M52" s="57" t="n"/>
      <c r="N52" s="12" t="inlineStr">
        <is>
          <t>月付</t>
        </is>
      </c>
      <c r="O52" s="39" t="n"/>
      <c r="P52" s="39" t="n"/>
      <c r="Q52" s="39" t="n"/>
      <c r="R52" s="39" t="n"/>
      <c r="S52" s="39" t="n"/>
      <c r="T52" s="39" t="n"/>
      <c r="U52" s="39" t="n"/>
      <c r="V52" s="39" t="n"/>
      <c r="W52" s="39" t="n"/>
      <c r="X52" s="39" t="n"/>
    </row>
    <row r="53" ht="17.6" customHeight="1" s="170">
      <c r="A53" s="5" t="inlineStr">
        <is>
          <t>蔬菜</t>
        </is>
      </c>
      <c r="B53" s="52" t="inlineStr">
        <is>
          <t>黑豆腐</t>
        </is>
      </c>
      <c r="C53" s="12" t="inlineStr">
        <is>
          <t>2.绵阳蔬菜</t>
        </is>
      </c>
      <c r="D53" s="7" t="n"/>
      <c r="E53" s="52" t="inlineStr">
        <is>
          <t>500g/盒</t>
        </is>
      </c>
      <c r="F53" s="26" t="n">
        <v>500</v>
      </c>
      <c r="G53" s="187" t="n">
        <v>4.5</v>
      </c>
      <c r="H53" s="57" t="inlineStr">
        <is>
          <t>冷藏</t>
        </is>
      </c>
      <c r="I53" t="n">
        <v>1</v>
      </c>
      <c r="J53" t="n">
        <v>0.008999999999999999</v>
      </c>
      <c r="K53" s="28" t="n"/>
      <c r="L53" s="5" t="inlineStr">
        <is>
          <t>蔬菜</t>
        </is>
      </c>
      <c r="M53" s="57" t="n"/>
      <c r="N53" s="12" t="inlineStr">
        <is>
          <t>月付</t>
        </is>
      </c>
      <c r="O53" s="39" t="n"/>
      <c r="P53" s="39" t="n"/>
      <c r="Q53" s="39" t="n"/>
      <c r="R53" s="39" t="n"/>
      <c r="S53" s="39" t="n"/>
      <c r="T53" s="39" t="n"/>
      <c r="U53" s="39" t="n"/>
      <c r="V53" s="39" t="n"/>
      <c r="W53" s="39" t="n"/>
      <c r="X53" s="39" t="n"/>
    </row>
    <row r="54" ht="17.6" customHeight="1" s="170">
      <c r="A54" s="5" t="inlineStr">
        <is>
          <t>蔬菜</t>
        </is>
      </c>
      <c r="B54" s="52" t="inlineStr">
        <is>
          <t>牛肝菌</t>
        </is>
      </c>
      <c r="C54" s="12" t="inlineStr">
        <is>
          <t>2.绵阳蔬菜</t>
        </is>
      </c>
      <c r="D54" s="7" t="n"/>
      <c r="E54" s="12" t="inlineStr">
        <is>
          <t>称重</t>
        </is>
      </c>
      <c r="F54" s="32" t="n">
        <v>500</v>
      </c>
      <c r="G54" s="187" t="n">
        <v>32</v>
      </c>
      <c r="H54" s="57" t="inlineStr">
        <is>
          <t>冷藏</t>
        </is>
      </c>
      <c r="I54" t="n">
        <v>0.95</v>
      </c>
      <c r="J54" t="n">
        <v>0.064</v>
      </c>
      <c r="K54" s="28" t="n"/>
      <c r="L54" s="5" t="inlineStr">
        <is>
          <t>蔬菜</t>
        </is>
      </c>
      <c r="M54" s="57" t="n"/>
      <c r="N54" s="12" t="inlineStr">
        <is>
          <t>月付</t>
        </is>
      </c>
      <c r="O54" s="39" t="n"/>
      <c r="P54" s="39" t="n"/>
      <c r="Q54" s="39" t="n"/>
      <c r="R54" s="39" t="n"/>
      <c r="S54" s="39" t="n"/>
      <c r="T54" s="39" t="n"/>
      <c r="U54" s="39" t="n"/>
      <c r="V54" s="39" t="n"/>
      <c r="W54" s="39" t="n"/>
      <c r="X54" s="39" t="n"/>
    </row>
    <row r="55" ht="17.6" customHeight="1" s="170">
      <c r="A55" s="5" t="inlineStr">
        <is>
          <t>蔬菜</t>
        </is>
      </c>
      <c r="B55" s="52" t="inlineStr">
        <is>
          <t>球盖菇</t>
        </is>
      </c>
      <c r="C55" s="12" t="inlineStr">
        <is>
          <t>2.绵阳蔬菜</t>
        </is>
      </c>
      <c r="D55" s="7" t="n"/>
      <c r="E55" s="12" t="inlineStr">
        <is>
          <t>称重</t>
        </is>
      </c>
      <c r="F55" s="26" t="n">
        <v>500</v>
      </c>
      <c r="G55" s="187" t="n">
        <v>10</v>
      </c>
      <c r="H55" s="57" t="inlineStr">
        <is>
          <t>冷藏</t>
        </is>
      </c>
      <c r="I55" t="n">
        <v>0.95</v>
      </c>
      <c r="J55" t="n">
        <v>0.02</v>
      </c>
      <c r="K55" s="28" t="n"/>
      <c r="L55" s="5" t="inlineStr">
        <is>
          <t>蔬菜</t>
        </is>
      </c>
      <c r="M55" s="57" t="n"/>
      <c r="N55" s="12" t="inlineStr">
        <is>
          <t>月付</t>
        </is>
      </c>
      <c r="O55" s="39" t="n"/>
      <c r="P55" s="39" t="n"/>
      <c r="Q55" s="39" t="n"/>
      <c r="R55" s="39" t="n"/>
      <c r="S55" s="39" t="n"/>
      <c r="T55" s="39" t="n"/>
      <c r="U55" s="39" t="n"/>
      <c r="V55" s="39" t="n"/>
      <c r="W55" s="39" t="n"/>
      <c r="X55" s="39" t="n"/>
    </row>
    <row r="56" ht="17.6" customHeight="1" s="170">
      <c r="A56" s="5" t="inlineStr">
        <is>
          <t>蔬菜</t>
        </is>
      </c>
      <c r="B56" s="52" t="inlineStr">
        <is>
          <t>鹿茸菇</t>
        </is>
      </c>
      <c r="C56" s="12" t="inlineStr">
        <is>
          <t>2.绵阳蔬菜</t>
        </is>
      </c>
      <c r="D56" s="7" t="n"/>
      <c r="E56" s="12" t="inlineStr">
        <is>
          <t>称重</t>
        </is>
      </c>
      <c r="F56" s="32" t="n">
        <v>500</v>
      </c>
      <c r="G56" s="189" t="n">
        <v>9</v>
      </c>
      <c r="H56" s="57" t="inlineStr">
        <is>
          <t>冷藏</t>
        </is>
      </c>
      <c r="I56" t="n">
        <v>0.95</v>
      </c>
      <c r="J56" t="n">
        <v>0.018</v>
      </c>
      <c r="K56" s="28" t="n"/>
      <c r="L56" s="5" t="inlineStr">
        <is>
          <t>蔬菜</t>
        </is>
      </c>
      <c r="M56" s="57" t="n"/>
      <c r="N56" s="12" t="inlineStr">
        <is>
          <t>月付</t>
        </is>
      </c>
      <c r="O56" s="39" t="n"/>
      <c r="P56" s="39" t="n"/>
      <c r="Q56" s="39" t="n"/>
      <c r="R56" s="39" t="n"/>
      <c r="S56" s="39" t="n"/>
      <c r="T56" s="39" t="n"/>
      <c r="U56" s="39" t="n"/>
      <c r="V56" s="39" t="n"/>
      <c r="W56" s="39" t="n"/>
      <c r="X56" s="39" t="n"/>
    </row>
    <row r="57" ht="17.6" customHeight="1" s="170">
      <c r="A57" s="5" t="inlineStr">
        <is>
          <t>蔬菜</t>
        </is>
      </c>
      <c r="B57" s="52" t="inlineStr">
        <is>
          <t>绣球菌</t>
        </is>
      </c>
      <c r="C57" s="12" t="inlineStr">
        <is>
          <t>2.绵阳蔬菜</t>
        </is>
      </c>
      <c r="D57" s="7" t="n"/>
      <c r="E57" s="52" t="inlineStr">
        <is>
          <t>120g/包</t>
        </is>
      </c>
      <c r="F57" s="26" t="n">
        <v>120</v>
      </c>
      <c r="G57" s="189" t="n">
        <v>9</v>
      </c>
      <c r="H57" s="57" t="inlineStr">
        <is>
          <t>冷藏</t>
        </is>
      </c>
      <c r="I57" t="n">
        <v>0.95</v>
      </c>
      <c r="J57" t="n">
        <v>0.075</v>
      </c>
      <c r="K57" s="28" t="n"/>
      <c r="L57" s="5" t="inlineStr">
        <is>
          <t>蔬菜</t>
        </is>
      </c>
      <c r="M57" s="57" t="n"/>
      <c r="N57" s="12" t="inlineStr">
        <is>
          <t>月付</t>
        </is>
      </c>
      <c r="O57" s="39" t="n"/>
      <c r="P57" s="39" t="n"/>
      <c r="Q57" s="39" t="n"/>
      <c r="R57" s="39" t="n"/>
      <c r="S57" s="39" t="n"/>
      <c r="T57" s="39" t="n"/>
      <c r="U57" s="39" t="n"/>
      <c r="V57" s="39" t="n"/>
      <c r="W57" s="39" t="n"/>
      <c r="X57" s="39" t="n"/>
    </row>
    <row r="58" ht="17.6" customHeight="1" s="170">
      <c r="A58" s="5" t="inlineStr">
        <is>
          <t>蔬菜</t>
        </is>
      </c>
      <c r="B58" s="52" t="inlineStr">
        <is>
          <t>金耳菌</t>
        </is>
      </c>
      <c r="C58" s="12" t="inlineStr">
        <is>
          <t>2.绵阳蔬菜</t>
        </is>
      </c>
      <c r="D58" s="7" t="n"/>
      <c r="E58" s="12" t="inlineStr">
        <is>
          <t>称重</t>
        </is>
      </c>
      <c r="F58" s="32" t="n">
        <v>500</v>
      </c>
      <c r="G58" s="189" t="n">
        <v>11</v>
      </c>
      <c r="H58" s="57" t="inlineStr">
        <is>
          <t>冷藏</t>
        </is>
      </c>
      <c r="I58" t="n">
        <v>1</v>
      </c>
      <c r="J58" t="n">
        <v>0.022</v>
      </c>
      <c r="K58" s="28" t="n"/>
      <c r="L58" s="5" t="inlineStr">
        <is>
          <t>蔬菜</t>
        </is>
      </c>
      <c r="M58" s="57" t="n"/>
      <c r="N58" s="12" t="inlineStr">
        <is>
          <t>月付</t>
        </is>
      </c>
      <c r="O58" s="39" t="n"/>
      <c r="P58" s="39" t="n"/>
      <c r="Q58" s="39" t="n"/>
      <c r="R58" s="39" t="n"/>
      <c r="S58" s="39" t="n"/>
      <c r="T58" s="39" t="n"/>
      <c r="U58" s="39" t="n"/>
      <c r="V58" s="39" t="n"/>
      <c r="W58" s="39" t="n"/>
      <c r="X58" s="39" t="n"/>
    </row>
    <row r="59" ht="17.6" customHeight="1" s="170">
      <c r="A59" s="5" t="inlineStr">
        <is>
          <t>蔬菜</t>
        </is>
      </c>
      <c r="B59" s="52" t="inlineStr">
        <is>
          <t>土豆</t>
        </is>
      </c>
      <c r="C59" s="12" t="inlineStr">
        <is>
          <t>2.绵阳蔬菜</t>
        </is>
      </c>
      <c r="D59" s="7" t="n"/>
      <c r="E59" s="12" t="inlineStr">
        <is>
          <t>称重</t>
        </is>
      </c>
      <c r="F59" s="26" t="n">
        <v>500</v>
      </c>
      <c r="G59" s="189" t="n">
        <v>1.3</v>
      </c>
      <c r="H59" s="57" t="inlineStr">
        <is>
          <t>常温</t>
        </is>
      </c>
      <c r="I59" t="n">
        <v>1</v>
      </c>
      <c r="J59" t="n">
        <v>0.0026</v>
      </c>
      <c r="K59" s="28" t="n"/>
      <c r="L59" s="5" t="inlineStr">
        <is>
          <t>蔬菜</t>
        </is>
      </c>
      <c r="M59" s="57" t="n"/>
      <c r="N59" s="12" t="inlineStr">
        <is>
          <t>月付</t>
        </is>
      </c>
      <c r="O59" s="39" t="n"/>
      <c r="P59" s="39" t="n"/>
      <c r="Q59" s="39" t="n"/>
      <c r="R59" s="39" t="n"/>
      <c r="S59" s="39" t="n"/>
      <c r="T59" s="39" t="n"/>
      <c r="U59" s="39" t="n"/>
      <c r="V59" s="39" t="n"/>
      <c r="W59" s="39" t="n"/>
      <c r="X59" s="39" t="n"/>
    </row>
    <row r="60" ht="17.6" customHeight="1" s="170">
      <c r="A60" s="5" t="inlineStr">
        <is>
          <t>蔬菜</t>
        </is>
      </c>
      <c r="B60" s="52" t="inlineStr">
        <is>
          <t>姜</t>
        </is>
      </c>
      <c r="C60" s="12" t="inlineStr">
        <is>
          <t>2.绵阳蔬菜</t>
        </is>
      </c>
      <c r="D60" s="7" t="n"/>
      <c r="E60" s="12" t="inlineStr">
        <is>
          <t>称重</t>
        </is>
      </c>
      <c r="F60" s="32" t="n">
        <v>500</v>
      </c>
      <c r="G60" s="189" t="n">
        <v>5</v>
      </c>
      <c r="H60" s="57" t="inlineStr">
        <is>
          <t>常温</t>
        </is>
      </c>
      <c r="I60" t="n">
        <v>1</v>
      </c>
      <c r="J60" t="n">
        <v>0.01</v>
      </c>
      <c r="K60" s="28" t="n"/>
      <c r="L60" s="5" t="inlineStr">
        <is>
          <t>蔬菜</t>
        </is>
      </c>
      <c r="M60" s="57" t="n"/>
      <c r="N60" s="12" t="inlineStr">
        <is>
          <t>月付</t>
        </is>
      </c>
      <c r="O60" s="39" t="n"/>
      <c r="P60" s="39" t="n"/>
      <c r="Q60" s="39" t="n"/>
      <c r="R60" s="39" t="n"/>
      <c r="S60" s="39" t="n"/>
      <c r="T60" s="39" t="n"/>
      <c r="U60" s="39" t="n"/>
      <c r="V60" s="39" t="n"/>
      <c r="W60" s="39" t="n"/>
      <c r="X60" s="39" t="n"/>
    </row>
    <row r="61" ht="17.6" customHeight="1" s="170">
      <c r="A61" s="5" t="inlineStr">
        <is>
          <t>蔬菜</t>
        </is>
      </c>
      <c r="B61" s="52" t="inlineStr">
        <is>
          <t>大蒜</t>
        </is>
      </c>
      <c r="C61" s="12" t="inlineStr">
        <is>
          <t>2.绵阳蔬菜</t>
        </is>
      </c>
      <c r="D61" s="7" t="n"/>
      <c r="E61" s="12" t="inlineStr">
        <is>
          <t>称重</t>
        </is>
      </c>
      <c r="F61" s="26" t="n">
        <v>500</v>
      </c>
      <c r="G61" s="189" t="n">
        <v>4</v>
      </c>
      <c r="H61" s="57" t="inlineStr">
        <is>
          <t>常温</t>
        </is>
      </c>
      <c r="I61" t="n">
        <v>1</v>
      </c>
      <c r="J61" t="n">
        <v>0.008</v>
      </c>
      <c r="K61" s="28" t="n"/>
      <c r="L61" s="5" t="inlineStr">
        <is>
          <t>蔬菜</t>
        </is>
      </c>
      <c r="M61" s="57" t="n"/>
      <c r="N61" s="12" t="inlineStr">
        <is>
          <t>月付</t>
        </is>
      </c>
      <c r="O61" s="39" t="n"/>
      <c r="P61" s="39" t="n"/>
      <c r="Q61" s="39" t="n"/>
      <c r="R61" s="39" t="n"/>
      <c r="S61" s="39" t="n"/>
      <c r="T61" s="39" t="n"/>
      <c r="U61" s="39" t="n"/>
      <c r="V61" s="39" t="n"/>
      <c r="W61" s="39" t="n"/>
      <c r="X61" s="39" t="n"/>
    </row>
    <row r="62" ht="17.6" customHeight="1" s="170">
      <c r="A62" s="5" t="inlineStr">
        <is>
          <t>蔬菜</t>
        </is>
      </c>
      <c r="B62" s="52" t="inlineStr">
        <is>
          <t>小米辣</t>
        </is>
      </c>
      <c r="C62" s="12" t="inlineStr">
        <is>
          <t>2.绵阳蔬菜</t>
        </is>
      </c>
      <c r="D62" s="7" t="n"/>
      <c r="E62" s="12" t="inlineStr">
        <is>
          <t>称重</t>
        </is>
      </c>
      <c r="F62" s="32" t="n">
        <v>500</v>
      </c>
      <c r="G62" s="189" t="n">
        <v>4.5</v>
      </c>
      <c r="H62" s="57" t="inlineStr">
        <is>
          <t>冷藏</t>
        </is>
      </c>
      <c r="I62" t="n">
        <v>0.95</v>
      </c>
      <c r="J62" t="n">
        <v>0.008999999999999999</v>
      </c>
      <c r="K62" s="28" t="n"/>
      <c r="L62" s="5" t="inlineStr">
        <is>
          <t>蔬菜</t>
        </is>
      </c>
      <c r="M62" s="57" t="n"/>
      <c r="N62" s="12" t="inlineStr">
        <is>
          <t>月付</t>
        </is>
      </c>
      <c r="O62" s="39" t="n"/>
      <c r="P62" s="39" t="n"/>
      <c r="Q62" s="39" t="n"/>
      <c r="R62" s="39" t="n"/>
      <c r="S62" s="39" t="n"/>
      <c r="T62" s="39" t="n"/>
      <c r="U62" s="39" t="n"/>
      <c r="V62" s="39" t="n"/>
      <c r="W62" s="39" t="n"/>
      <c r="X62" s="39" t="n"/>
    </row>
    <row r="63" ht="17.6" customHeight="1" s="170">
      <c r="A63" s="5" t="inlineStr">
        <is>
          <t>蔬菜</t>
        </is>
      </c>
      <c r="B63" s="52" t="inlineStr">
        <is>
          <t>香茅</t>
        </is>
      </c>
      <c r="C63" s="12" t="inlineStr">
        <is>
          <t>2.绵阳蔬菜</t>
        </is>
      </c>
      <c r="D63" s="7" t="n"/>
      <c r="E63" s="12" t="inlineStr">
        <is>
          <t>称重</t>
        </is>
      </c>
      <c r="F63" s="26" t="n">
        <v>500</v>
      </c>
      <c r="G63" s="189" t="n">
        <v>10</v>
      </c>
      <c r="H63" s="57" t="inlineStr">
        <is>
          <t>冷藏</t>
        </is>
      </c>
      <c r="I63" t="n">
        <v>0.9</v>
      </c>
      <c r="J63" t="n">
        <v>0.02</v>
      </c>
      <c r="K63" s="28" t="n"/>
      <c r="L63" s="5" t="inlineStr">
        <is>
          <t>蔬菜</t>
        </is>
      </c>
      <c r="M63" s="57" t="n"/>
      <c r="N63" s="12" t="inlineStr">
        <is>
          <t>月付</t>
        </is>
      </c>
      <c r="O63" s="39" t="n"/>
      <c r="P63" s="39" t="n"/>
      <c r="Q63" s="39" t="n"/>
      <c r="R63" s="39" t="n"/>
      <c r="S63" s="39" t="n"/>
      <c r="T63" s="39" t="n"/>
      <c r="U63" s="39" t="n"/>
      <c r="V63" s="39" t="n"/>
      <c r="W63" s="39" t="n"/>
      <c r="X63" s="39" t="n"/>
    </row>
    <row r="64" ht="17.6" customHeight="1" s="170">
      <c r="A64" s="5" t="inlineStr">
        <is>
          <t>蔬菜</t>
        </is>
      </c>
      <c r="B64" s="52" t="inlineStr">
        <is>
          <t>蒜苗</t>
        </is>
      </c>
      <c r="C64" s="12" t="inlineStr">
        <is>
          <t>2.绵阳蔬菜</t>
        </is>
      </c>
      <c r="D64" s="7" t="n"/>
      <c r="E64" s="12" t="inlineStr">
        <is>
          <t>称重</t>
        </is>
      </c>
      <c r="F64" s="26" t="n">
        <v>500</v>
      </c>
      <c r="G64" s="189" t="n">
        <v>7</v>
      </c>
      <c r="H64" s="57" t="inlineStr">
        <is>
          <t>冷藏</t>
        </is>
      </c>
      <c r="I64" t="n">
        <v>1</v>
      </c>
      <c r="J64" t="n">
        <v>0.014</v>
      </c>
      <c r="K64" s="28" t="n"/>
      <c r="L64" s="5" t="inlineStr">
        <is>
          <t>蔬菜</t>
        </is>
      </c>
      <c r="M64" s="57" t="n"/>
      <c r="N64" s="12" t="inlineStr">
        <is>
          <t>月付</t>
        </is>
      </c>
      <c r="O64" s="39" t="n"/>
      <c r="P64" s="39" t="n"/>
      <c r="Q64" s="39" t="n"/>
      <c r="R64" s="39" t="n"/>
      <c r="S64" s="39" t="n"/>
      <c r="T64" s="39" t="n"/>
      <c r="U64" s="39" t="n"/>
      <c r="V64" s="39" t="n"/>
      <c r="W64" s="39" t="n"/>
      <c r="X64" s="39" t="n"/>
    </row>
    <row r="65" ht="17.6" customHeight="1" s="170">
      <c r="A65" s="5" t="inlineStr">
        <is>
          <t>蔬菜</t>
        </is>
      </c>
      <c r="B65" s="52" t="inlineStr">
        <is>
          <t>螺丝椒</t>
        </is>
      </c>
      <c r="C65" s="12" t="inlineStr">
        <is>
          <t>2.绵阳蔬菜</t>
        </is>
      </c>
      <c r="D65" s="7" t="n"/>
      <c r="E65" s="12" t="inlineStr">
        <is>
          <t>称重</t>
        </is>
      </c>
      <c r="F65" s="32" t="n">
        <v>500</v>
      </c>
      <c r="G65" s="189" t="n">
        <v>4</v>
      </c>
      <c r="H65" s="57" t="inlineStr">
        <is>
          <t>冷藏</t>
        </is>
      </c>
      <c r="I65" t="n">
        <v>0.9</v>
      </c>
      <c r="J65" t="n">
        <v>0.008</v>
      </c>
      <c r="K65" s="28" t="n"/>
      <c r="L65" s="5" t="inlineStr">
        <is>
          <t>蔬菜</t>
        </is>
      </c>
      <c r="M65" s="57" t="n"/>
      <c r="N65" s="12" t="inlineStr">
        <is>
          <t>月付</t>
        </is>
      </c>
      <c r="O65" s="39" t="n"/>
      <c r="P65" s="39" t="n"/>
      <c r="Q65" s="39" t="n"/>
      <c r="R65" s="39" t="n"/>
      <c r="S65" s="39" t="n"/>
      <c r="T65" s="39" t="n"/>
      <c r="U65" s="39" t="n"/>
      <c r="V65" s="39" t="n"/>
      <c r="W65" s="39" t="n"/>
      <c r="X65" s="39" t="n"/>
    </row>
    <row r="66" ht="17.6" customHeight="1" s="170">
      <c r="A66" s="5" t="inlineStr">
        <is>
          <t>蔬菜</t>
        </is>
      </c>
      <c r="B66" s="52" t="inlineStr">
        <is>
          <t>番茄</t>
        </is>
      </c>
      <c r="C66" s="12" t="inlineStr">
        <is>
          <t>2.绵阳蔬菜</t>
        </is>
      </c>
      <c r="D66" s="7" t="n"/>
      <c r="E66" s="12" t="inlineStr">
        <is>
          <t>称重</t>
        </is>
      </c>
      <c r="F66" s="26" t="n">
        <v>500</v>
      </c>
      <c r="G66" s="189" t="n">
        <v>3.5</v>
      </c>
      <c r="H66" s="57" t="inlineStr">
        <is>
          <t>冷藏</t>
        </is>
      </c>
      <c r="I66" t="n">
        <v>0.95</v>
      </c>
      <c r="J66" t="n">
        <v>0.007</v>
      </c>
      <c r="K66" s="28" t="n"/>
      <c r="L66" s="5" t="inlineStr">
        <is>
          <t>蔬菜</t>
        </is>
      </c>
      <c r="M66" s="57" t="n"/>
      <c r="N66" s="12" t="inlineStr">
        <is>
          <t>月付</t>
        </is>
      </c>
      <c r="O66" s="39" t="n"/>
      <c r="P66" s="39" t="n"/>
      <c r="Q66" s="39" t="n"/>
      <c r="R66" s="39" t="n"/>
      <c r="S66" s="39" t="n"/>
      <c r="T66" s="39" t="n"/>
      <c r="U66" s="39" t="n"/>
      <c r="V66" s="39" t="n"/>
      <c r="W66" s="39" t="n"/>
      <c r="X66" s="39" t="n"/>
    </row>
    <row r="67" ht="17.6" customHeight="1" s="170">
      <c r="A67" s="5" t="inlineStr">
        <is>
          <t>蔬菜</t>
        </is>
      </c>
      <c r="B67" s="52" t="inlineStr">
        <is>
          <t>折耳根</t>
        </is>
      </c>
      <c r="C67" s="12" t="inlineStr">
        <is>
          <t>2.绵阳蔬菜</t>
        </is>
      </c>
      <c r="D67" s="7" t="n"/>
      <c r="E67" s="12" t="inlineStr">
        <is>
          <t>称重</t>
        </is>
      </c>
      <c r="F67" s="32" t="n">
        <v>500</v>
      </c>
      <c r="G67" s="189" t="n">
        <v>5</v>
      </c>
      <c r="H67" s="57" t="inlineStr">
        <is>
          <t>冷藏</t>
        </is>
      </c>
      <c r="I67" t="n">
        <v>0.95</v>
      </c>
      <c r="J67" t="n">
        <v>0.01</v>
      </c>
      <c r="K67" s="28" t="n"/>
      <c r="L67" s="5" t="inlineStr">
        <is>
          <t>蔬菜</t>
        </is>
      </c>
      <c r="M67" s="57" t="n"/>
      <c r="N67" s="12" t="inlineStr">
        <is>
          <t>月付</t>
        </is>
      </c>
      <c r="O67" s="39" t="n"/>
      <c r="P67" s="39" t="n"/>
      <c r="Q67" s="39" t="n"/>
      <c r="R67" s="39" t="n"/>
      <c r="S67" s="39" t="n"/>
      <c r="T67" s="39" t="n"/>
      <c r="U67" s="39" t="n"/>
      <c r="V67" s="39" t="n"/>
      <c r="W67" s="39" t="n"/>
      <c r="X67" s="39" t="n"/>
    </row>
    <row r="68" ht="17.6" customHeight="1" s="170">
      <c r="A68" s="5" t="inlineStr">
        <is>
          <t>蔬菜</t>
        </is>
      </c>
      <c r="B68" s="52" t="inlineStr">
        <is>
          <t>茄子</t>
        </is>
      </c>
      <c r="C68" s="12" t="inlineStr">
        <is>
          <t>2.绵阳蔬菜</t>
        </is>
      </c>
      <c r="D68" s="7" t="n"/>
      <c r="E68" s="12" t="inlineStr">
        <is>
          <t>称重</t>
        </is>
      </c>
      <c r="F68" s="26" t="n">
        <v>500</v>
      </c>
      <c r="G68" s="189" t="n">
        <v>1.8</v>
      </c>
      <c r="H68" s="57" t="inlineStr">
        <is>
          <t>冷藏</t>
        </is>
      </c>
      <c r="I68" t="n">
        <v>0.9</v>
      </c>
      <c r="J68" t="n">
        <v>0.0036</v>
      </c>
      <c r="K68" s="28" t="n"/>
      <c r="L68" s="5" t="inlineStr">
        <is>
          <t>蔬菜</t>
        </is>
      </c>
      <c r="M68" s="57" t="n"/>
      <c r="N68" s="12" t="inlineStr">
        <is>
          <t>月付</t>
        </is>
      </c>
      <c r="O68" s="39" t="n"/>
      <c r="P68" s="39" t="n"/>
      <c r="Q68" s="39" t="n"/>
      <c r="R68" s="39" t="n"/>
      <c r="S68" s="39" t="n"/>
      <c r="T68" s="39" t="n"/>
      <c r="U68" s="39" t="n"/>
      <c r="V68" s="39" t="n"/>
      <c r="W68" s="39" t="n"/>
      <c r="X68" s="39" t="n"/>
    </row>
    <row r="69" ht="17.6" customHeight="1" s="170">
      <c r="A69" s="5" t="inlineStr">
        <is>
          <t>蔬菜</t>
        </is>
      </c>
      <c r="B69" s="12" t="inlineStr">
        <is>
          <t>黄柠檬</t>
        </is>
      </c>
      <c r="C69" s="12" t="inlineStr">
        <is>
          <t>2.绵阳蔬菜</t>
        </is>
      </c>
      <c r="D69" s="7" t="n"/>
      <c r="E69" s="12" t="inlineStr">
        <is>
          <t>称重</t>
        </is>
      </c>
      <c r="F69" s="26" t="n">
        <v>500</v>
      </c>
      <c r="G69" s="189" t="n">
        <v>6.5</v>
      </c>
      <c r="H69" s="57" t="inlineStr">
        <is>
          <t>冷藏</t>
        </is>
      </c>
      <c r="I69" t="n">
        <v>1</v>
      </c>
      <c r="J69" t="n">
        <v>0.013</v>
      </c>
      <c r="K69" s="28" t="n"/>
      <c r="L69" s="5" t="inlineStr">
        <is>
          <t>蔬菜</t>
        </is>
      </c>
      <c r="M69" s="57" t="n"/>
      <c r="N69" s="12" t="inlineStr">
        <is>
          <t>月付</t>
        </is>
      </c>
      <c r="O69" s="39" t="n"/>
      <c r="P69" s="39" t="n"/>
      <c r="Q69" s="39" t="n"/>
      <c r="R69" s="39" t="n"/>
      <c r="S69" s="39" t="n"/>
      <c r="T69" s="39" t="n"/>
      <c r="U69" s="39" t="n"/>
      <c r="V69" s="39" t="n"/>
      <c r="W69" s="39" t="n"/>
      <c r="X69" s="39" t="n"/>
    </row>
    <row r="70" ht="17.6" customHeight="1" s="170">
      <c r="A70" s="5" t="inlineStr">
        <is>
          <t>蔬菜</t>
        </is>
      </c>
      <c r="B70" s="52" t="inlineStr">
        <is>
          <t>鲜花椒</t>
        </is>
      </c>
      <c r="C70" s="12" t="inlineStr">
        <is>
          <t>2.绵阳蔬菜</t>
        </is>
      </c>
      <c r="D70" s="7" t="n"/>
      <c r="E70" s="52" t="inlineStr">
        <is>
          <t>400g/袋</t>
        </is>
      </c>
      <c r="F70" s="32" t="n">
        <v>400</v>
      </c>
      <c r="G70" s="189" t="n">
        <v>8</v>
      </c>
      <c r="H70" s="57" t="inlineStr">
        <is>
          <t>冷冻</t>
        </is>
      </c>
      <c r="I70" t="n">
        <v>1</v>
      </c>
      <c r="J70" t="n">
        <v>0.02</v>
      </c>
      <c r="K70" s="28" t="n"/>
      <c r="L70" s="5" t="inlineStr">
        <is>
          <t>蔬菜</t>
        </is>
      </c>
      <c r="M70" s="57" t="n"/>
      <c r="N70" s="12" t="inlineStr">
        <is>
          <t>月付</t>
        </is>
      </c>
      <c r="O70" s="39" t="n"/>
      <c r="P70" s="39" t="n"/>
      <c r="Q70" s="39" t="n"/>
      <c r="R70" s="39" t="n"/>
      <c r="S70" s="39" t="n"/>
      <c r="T70" s="39" t="n"/>
      <c r="U70" s="39" t="n"/>
      <c r="V70" s="39" t="n"/>
      <c r="W70" s="39" t="n"/>
      <c r="X70" s="39" t="n"/>
    </row>
    <row r="71" ht="17.6" customHeight="1" s="170">
      <c r="A71" s="5" t="inlineStr">
        <is>
          <t>蔬菜</t>
        </is>
      </c>
      <c r="B71" s="52" t="inlineStr">
        <is>
          <t>香菜</t>
        </is>
      </c>
      <c r="C71" s="12" t="inlineStr">
        <is>
          <t>2.绵阳蔬菜</t>
        </is>
      </c>
      <c r="D71" s="7" t="n"/>
      <c r="E71" s="12" t="inlineStr">
        <is>
          <t>称重</t>
        </is>
      </c>
      <c r="F71" s="32" t="n">
        <v>500</v>
      </c>
      <c r="G71" s="189" t="n">
        <v>6.5</v>
      </c>
      <c r="H71" s="57" t="inlineStr">
        <is>
          <t>冷藏</t>
        </is>
      </c>
      <c r="I71" t="n">
        <v>0.9</v>
      </c>
      <c r="J71" t="n">
        <v>0.013</v>
      </c>
      <c r="K71" s="47" t="n"/>
      <c r="L71" s="5" t="inlineStr">
        <is>
          <t>蔬菜</t>
        </is>
      </c>
      <c r="M71" s="57" t="n"/>
      <c r="N71" s="12" t="inlineStr">
        <is>
          <t>月付</t>
        </is>
      </c>
      <c r="O71" s="39" t="n"/>
      <c r="P71" s="39" t="n"/>
      <c r="Q71" s="39" t="n"/>
      <c r="R71" s="39" t="n"/>
      <c r="S71" s="39" t="n"/>
      <c r="T71" s="39" t="n"/>
      <c r="U71" s="39" t="n"/>
      <c r="V71" s="39" t="n"/>
      <c r="W71" s="39" t="n"/>
      <c r="X71" s="39" t="n"/>
    </row>
    <row r="72" ht="17.6" customHeight="1" s="170">
      <c r="A72" s="5" t="inlineStr">
        <is>
          <t>蔬菜</t>
        </is>
      </c>
      <c r="B72" s="52" t="inlineStr">
        <is>
          <t>大香菜</t>
        </is>
      </c>
      <c r="C72" s="12" t="inlineStr">
        <is>
          <t>2.绵阳蔬菜</t>
        </is>
      </c>
      <c r="D72" s="7" t="n"/>
      <c r="E72" s="12" t="inlineStr">
        <is>
          <t>称重</t>
        </is>
      </c>
      <c r="F72" s="26" t="n">
        <v>500</v>
      </c>
      <c r="G72" s="189" t="n">
        <v>13</v>
      </c>
      <c r="H72" s="57" t="inlineStr">
        <is>
          <t>冷藏</t>
        </is>
      </c>
      <c r="I72" t="n">
        <v>1</v>
      </c>
      <c r="J72" t="n">
        <v>0.026</v>
      </c>
      <c r="K72" s="28" t="inlineStr">
        <is>
          <t>野香菜</t>
        </is>
      </c>
      <c r="L72" s="5" t="inlineStr">
        <is>
          <t>蔬菜</t>
        </is>
      </c>
      <c r="M72" s="57" t="n"/>
      <c r="N72" s="12" t="inlineStr">
        <is>
          <t>月付</t>
        </is>
      </c>
      <c r="O72" s="39" t="n"/>
      <c r="P72" s="39" t="n"/>
      <c r="Q72" s="39" t="n"/>
      <c r="R72" s="39" t="n"/>
      <c r="S72" s="39" t="n"/>
      <c r="T72" s="39" t="n"/>
      <c r="U72" s="39" t="n"/>
      <c r="V72" s="39" t="n"/>
      <c r="W72" s="39" t="n"/>
      <c r="X72" s="39" t="n"/>
    </row>
    <row r="73" ht="17.6" customHeight="1" s="170">
      <c r="A73" s="5" t="inlineStr">
        <is>
          <t>蔬菜</t>
        </is>
      </c>
      <c r="B73" s="52" t="inlineStr">
        <is>
          <t>美人椒</t>
        </is>
      </c>
      <c r="C73" s="12" t="inlineStr">
        <is>
          <t>2.绵阳蔬菜</t>
        </is>
      </c>
      <c r="D73" s="7" t="n"/>
      <c r="E73" s="12" t="inlineStr">
        <is>
          <t>称重</t>
        </is>
      </c>
      <c r="F73" s="32" t="n">
        <v>500</v>
      </c>
      <c r="G73" s="189" t="n">
        <v>7</v>
      </c>
      <c r="H73" s="57" t="inlineStr">
        <is>
          <t>冷藏</t>
        </is>
      </c>
      <c r="I73" t="n">
        <v>1</v>
      </c>
      <c r="J73" t="n">
        <v>0.014</v>
      </c>
      <c r="K73" s="28" t="n"/>
      <c r="L73" s="5" t="inlineStr">
        <is>
          <t>蔬菜</t>
        </is>
      </c>
      <c r="M73" s="57" t="n"/>
      <c r="N73" s="12" t="inlineStr">
        <is>
          <t>月付</t>
        </is>
      </c>
      <c r="O73" s="39" t="n"/>
      <c r="P73" s="39" t="n"/>
      <c r="Q73" s="39" t="n"/>
      <c r="R73" s="39" t="n"/>
      <c r="S73" s="39" t="n"/>
      <c r="T73" s="39" t="n"/>
      <c r="U73" s="39" t="n"/>
      <c r="V73" s="39" t="n"/>
      <c r="W73" s="39" t="n"/>
      <c r="X73" s="39" t="n"/>
    </row>
    <row r="74" ht="17.6" customHeight="1" s="170">
      <c r="A74" s="5" t="inlineStr">
        <is>
          <t>蔬菜</t>
        </is>
      </c>
      <c r="B74" s="52" t="inlineStr">
        <is>
          <t>小青柠</t>
        </is>
      </c>
      <c r="C74" s="12" t="inlineStr">
        <is>
          <t>2.绵阳蔬菜</t>
        </is>
      </c>
      <c r="D74" s="7" t="n"/>
      <c r="E74" s="12" t="inlineStr">
        <is>
          <t>称重</t>
        </is>
      </c>
      <c r="F74" s="32" t="n">
        <v>500</v>
      </c>
      <c r="G74" s="189" t="n">
        <v>13</v>
      </c>
      <c r="H74" s="57" t="inlineStr">
        <is>
          <t>冷藏</t>
        </is>
      </c>
      <c r="I74" t="n">
        <v>1</v>
      </c>
      <c r="J74" t="n">
        <v>0.026</v>
      </c>
      <c r="K74" s="28" t="n"/>
      <c r="L74" s="5" t="inlineStr">
        <is>
          <t>蔬菜</t>
        </is>
      </c>
      <c r="M74" s="57" t="n"/>
      <c r="N74" s="12" t="inlineStr">
        <is>
          <t>月付</t>
        </is>
      </c>
      <c r="O74" s="39" t="n"/>
      <c r="P74" s="39" t="n"/>
      <c r="Q74" s="39" t="n"/>
      <c r="R74" s="39" t="n"/>
      <c r="S74" s="39" t="n"/>
      <c r="T74" s="39" t="n"/>
      <c r="U74" s="39" t="n"/>
      <c r="V74" s="39" t="n"/>
      <c r="W74" s="39" t="n"/>
      <c r="X74" s="39" t="n"/>
    </row>
    <row r="75" ht="17.6" customHeight="1" s="170">
      <c r="A75" s="5" t="inlineStr">
        <is>
          <t>蔬菜</t>
        </is>
      </c>
      <c r="B75" s="52" t="inlineStr">
        <is>
          <t>芭蕉叶</t>
        </is>
      </c>
      <c r="C75" s="12" t="inlineStr">
        <is>
          <t>2.绵阳蔬菜</t>
        </is>
      </c>
      <c r="D75" s="7" t="n"/>
      <c r="E75" s="12" t="inlineStr">
        <is>
          <t>称重</t>
        </is>
      </c>
      <c r="F75" s="32" t="n">
        <v>500</v>
      </c>
      <c r="G75" s="189" t="n">
        <v>10</v>
      </c>
      <c r="H75" s="57" t="inlineStr">
        <is>
          <t>常温</t>
        </is>
      </c>
      <c r="I75" t="n">
        <v>0.9</v>
      </c>
      <c r="J75" t="n">
        <v>0.02</v>
      </c>
      <c r="K75" s="28" t="n"/>
      <c r="L75" s="5" t="inlineStr">
        <is>
          <t>蔬菜</t>
        </is>
      </c>
      <c r="M75" s="57" t="n"/>
      <c r="N75" s="12" t="inlineStr">
        <is>
          <t>月付</t>
        </is>
      </c>
      <c r="O75" s="39" t="n"/>
      <c r="P75" s="39" t="n"/>
      <c r="Q75" s="39" t="n"/>
      <c r="R75" s="39" t="n"/>
      <c r="S75" s="39" t="n"/>
      <c r="T75" s="39" t="n"/>
      <c r="U75" s="39" t="n"/>
      <c r="V75" s="39" t="n"/>
      <c r="W75" s="39" t="n"/>
      <c r="X75" s="39" t="n"/>
    </row>
    <row r="76" ht="20" customHeight="1" s="170">
      <c r="A76" s="5" t="inlineStr">
        <is>
          <t>蔬菜</t>
        </is>
      </c>
      <c r="B76" s="52" t="inlineStr">
        <is>
          <t>绿豆芽</t>
        </is>
      </c>
      <c r="C76" s="12" t="inlineStr">
        <is>
          <t>2.绵阳蔬菜</t>
        </is>
      </c>
      <c r="D76" s="7" t="n"/>
      <c r="E76" s="12" t="inlineStr">
        <is>
          <t>称重</t>
        </is>
      </c>
      <c r="F76" s="32" t="n">
        <v>500</v>
      </c>
      <c r="G76" s="189" t="n">
        <v>1.5</v>
      </c>
      <c r="H76" s="57" t="inlineStr">
        <is>
          <t>冷藏</t>
        </is>
      </c>
      <c r="I76" t="n">
        <v>0.95</v>
      </c>
      <c r="J76" t="n">
        <v>0.003</v>
      </c>
      <c r="K76" s="28" t="n"/>
      <c r="L76" s="5" t="inlineStr">
        <is>
          <t>蔬菜</t>
        </is>
      </c>
      <c r="M76" s="57" t="n"/>
      <c r="N76" s="12" t="inlineStr">
        <is>
          <t>月付</t>
        </is>
      </c>
      <c r="O76" s="39" t="n"/>
      <c r="P76" s="39" t="n"/>
      <c r="Q76" s="39" t="n"/>
      <c r="R76" s="39" t="n"/>
      <c r="S76" s="39" t="n"/>
      <c r="T76" s="39" t="n"/>
      <c r="U76" s="39" t="n"/>
      <c r="V76" s="39" t="n"/>
      <c r="W76" s="39" t="n"/>
      <c r="X76" s="39" t="n"/>
    </row>
    <row r="77" ht="17.6" customHeight="1" s="170">
      <c r="A77" s="5" t="inlineStr">
        <is>
          <t>蔬菜</t>
        </is>
      </c>
      <c r="B77" s="52" t="inlineStr">
        <is>
          <t>黄瓜</t>
        </is>
      </c>
      <c r="C77" s="12" t="inlineStr">
        <is>
          <t>2.绵阳蔬菜</t>
        </is>
      </c>
      <c r="D77" s="7" t="n"/>
      <c r="E77" s="12" t="inlineStr">
        <is>
          <t>称重</t>
        </is>
      </c>
      <c r="F77" s="32" t="n">
        <v>500</v>
      </c>
      <c r="G77" s="189" t="n">
        <v>4</v>
      </c>
      <c r="H77" s="57" t="inlineStr">
        <is>
          <t>冷藏</t>
        </is>
      </c>
      <c r="I77" t="n">
        <v>0.9</v>
      </c>
      <c r="J77" t="n">
        <v>0.008</v>
      </c>
      <c r="K77" s="28" t="n"/>
      <c r="L77" s="5" t="inlineStr">
        <is>
          <t>蔬菜</t>
        </is>
      </c>
      <c r="M77" s="57" t="n"/>
      <c r="N77" s="12" t="inlineStr">
        <is>
          <t>月付</t>
        </is>
      </c>
      <c r="O77" s="39" t="n"/>
      <c r="P77" s="39" t="n"/>
      <c r="Q77" s="39" t="n"/>
      <c r="R77" s="39" t="n"/>
      <c r="S77" s="39" t="n"/>
      <c r="T77" s="39" t="n"/>
      <c r="U77" s="39" t="n"/>
      <c r="V77" s="39" t="n"/>
      <c r="W77" s="39" t="n"/>
      <c r="X77" s="39" t="n"/>
    </row>
    <row r="78" ht="17.6" customHeight="1" s="170">
      <c r="A78" s="5" t="inlineStr">
        <is>
          <t>蔬菜</t>
        </is>
      </c>
      <c r="B78" s="52" t="inlineStr">
        <is>
          <t>青笋</t>
        </is>
      </c>
      <c r="C78" s="12" t="inlineStr">
        <is>
          <t>2.绵阳蔬菜</t>
        </is>
      </c>
      <c r="D78" s="7" t="n"/>
      <c r="E78" s="12" t="inlineStr">
        <is>
          <t>称重</t>
        </is>
      </c>
      <c r="F78" s="32" t="n">
        <v>500</v>
      </c>
      <c r="G78" s="189" t="n">
        <v>2</v>
      </c>
      <c r="H78" s="57" t="inlineStr">
        <is>
          <t>冷藏</t>
        </is>
      </c>
      <c r="I78" t="n">
        <v>0.9</v>
      </c>
      <c r="J78" t="n">
        <v>0.004</v>
      </c>
      <c r="K78" s="28" t="n"/>
      <c r="L78" s="5" t="inlineStr">
        <is>
          <t>蔬菜</t>
        </is>
      </c>
      <c r="M78" s="57" t="n"/>
      <c r="N78" s="12" t="inlineStr">
        <is>
          <t>月付</t>
        </is>
      </c>
      <c r="O78" s="39" t="n"/>
      <c r="P78" s="39" t="n"/>
      <c r="Q78" s="39" t="n"/>
      <c r="R78" s="39" t="n"/>
      <c r="S78" s="39" t="n"/>
      <c r="T78" s="39" t="n"/>
      <c r="U78" s="39" t="n"/>
      <c r="V78" s="39" t="n"/>
      <c r="W78" s="39" t="n"/>
      <c r="X78" s="39" t="n"/>
    </row>
    <row r="79" ht="17.6" customHeight="1" s="170">
      <c r="A79" s="5" t="inlineStr">
        <is>
          <t>蔬菜</t>
        </is>
      </c>
      <c r="B79" s="52" t="inlineStr">
        <is>
          <t>豆皮</t>
        </is>
      </c>
      <c r="C79" s="12" t="inlineStr">
        <is>
          <t>2.绵阳蔬菜</t>
        </is>
      </c>
      <c r="D79" s="7" t="n"/>
      <c r="E79" s="12" t="inlineStr">
        <is>
          <t>称重</t>
        </is>
      </c>
      <c r="F79" s="32" t="n">
        <v>500</v>
      </c>
      <c r="G79" s="189" t="n">
        <v>5</v>
      </c>
      <c r="H79" s="57" t="inlineStr">
        <is>
          <t>冷藏</t>
        </is>
      </c>
      <c r="I79" t="n">
        <v>1</v>
      </c>
      <c r="J79" t="n">
        <v>0.01</v>
      </c>
      <c r="K79" s="28" t="n"/>
      <c r="L79" s="5" t="inlineStr">
        <is>
          <t>蔬菜</t>
        </is>
      </c>
      <c r="M79" s="57" t="n"/>
      <c r="N79" s="12" t="inlineStr">
        <is>
          <t>月付</t>
        </is>
      </c>
      <c r="O79" s="39" t="n"/>
      <c r="P79" s="39" t="n"/>
      <c r="Q79" s="39" t="n"/>
      <c r="R79" s="39" t="n"/>
      <c r="S79" s="39" t="n"/>
      <c r="T79" s="39" t="n"/>
      <c r="U79" s="39" t="n"/>
      <c r="V79" s="39" t="n"/>
      <c r="W79" s="39" t="n"/>
      <c r="X79" s="39" t="n"/>
    </row>
    <row r="80" ht="17.6" customHeight="1" s="170">
      <c r="A80" s="5" t="inlineStr">
        <is>
          <t>蔬菜</t>
        </is>
      </c>
      <c r="B80" s="52" t="inlineStr">
        <is>
          <t>凉面</t>
        </is>
      </c>
      <c r="C80" s="12" t="inlineStr">
        <is>
          <t>2.绵阳蔬菜</t>
        </is>
      </c>
      <c r="D80" s="7" t="n"/>
      <c r="E80" s="12" t="inlineStr">
        <is>
          <t>称重</t>
        </is>
      </c>
      <c r="F80" s="26" t="n">
        <v>500</v>
      </c>
      <c r="G80" s="189" t="n">
        <v>3</v>
      </c>
      <c r="H80" s="57" t="inlineStr">
        <is>
          <t>冷藏</t>
        </is>
      </c>
      <c r="I80" t="n">
        <v>1</v>
      </c>
      <c r="J80" t="n">
        <v>0.006</v>
      </c>
      <c r="K80" s="28" t="n"/>
      <c r="L80" s="5" t="inlineStr">
        <is>
          <t>蔬菜</t>
        </is>
      </c>
      <c r="M80" s="57" t="n"/>
      <c r="N80" s="12" t="inlineStr">
        <is>
          <t>月付</t>
        </is>
      </c>
      <c r="O80" s="39" t="n"/>
      <c r="P80" s="39" t="n"/>
      <c r="Q80" s="39" t="n"/>
      <c r="R80" s="39" t="n"/>
      <c r="S80" s="39" t="n"/>
      <c r="T80" s="39" t="n"/>
      <c r="U80" s="39" t="n"/>
      <c r="V80" s="39" t="n"/>
      <c r="W80" s="39" t="n"/>
      <c r="X80" s="39" t="n"/>
    </row>
    <row r="81" ht="20" customHeight="1" s="170">
      <c r="A81" s="5" t="inlineStr">
        <is>
          <t>蔬菜</t>
        </is>
      </c>
      <c r="B81" s="52" t="inlineStr">
        <is>
          <t>二荆条</t>
        </is>
      </c>
      <c r="C81" s="12" t="inlineStr">
        <is>
          <t>2.绵阳蔬菜</t>
        </is>
      </c>
      <c r="D81" s="7" t="n"/>
      <c r="E81" s="12" t="inlineStr">
        <is>
          <t>称重</t>
        </is>
      </c>
      <c r="F81" s="26" t="n">
        <v>500</v>
      </c>
      <c r="G81" s="189" t="n">
        <v>5</v>
      </c>
      <c r="H81" s="57" t="inlineStr">
        <is>
          <t>冷藏</t>
        </is>
      </c>
      <c r="I81" t="n">
        <v>1</v>
      </c>
      <c r="J81" t="n">
        <v>0.01</v>
      </c>
      <c r="K81" s="28" t="n"/>
      <c r="L81" s="5" t="inlineStr">
        <is>
          <t>蔬菜</t>
        </is>
      </c>
      <c r="M81" s="57" t="n"/>
      <c r="N81" s="12" t="inlineStr">
        <is>
          <t>月付</t>
        </is>
      </c>
      <c r="O81" s="39" t="n"/>
      <c r="P81" s="39" t="n"/>
      <c r="Q81" s="39" t="n"/>
      <c r="R81" s="39" t="n"/>
      <c r="S81" s="39" t="n"/>
      <c r="T81" s="39" t="n"/>
      <c r="U81" s="39" t="n"/>
      <c r="V81" s="39" t="n"/>
      <c r="W81" s="39" t="n"/>
      <c r="X81" s="39" t="n"/>
    </row>
    <row r="82" ht="20" customHeight="1" s="170">
      <c r="A82" s="5" t="inlineStr">
        <is>
          <t>蔬菜</t>
        </is>
      </c>
      <c r="B82" s="52" t="inlineStr">
        <is>
          <t>黄豆芽</t>
        </is>
      </c>
      <c r="C82" s="12" t="inlineStr">
        <is>
          <t>2.绵阳蔬菜</t>
        </is>
      </c>
      <c r="D82" s="7" t="n"/>
      <c r="E82" s="12" t="inlineStr">
        <is>
          <t>称重</t>
        </is>
      </c>
      <c r="F82" s="26" t="n">
        <v>500</v>
      </c>
      <c r="G82" s="189" t="n">
        <v>1.5</v>
      </c>
      <c r="H82" s="57" t="inlineStr">
        <is>
          <t>冷藏</t>
        </is>
      </c>
      <c r="I82" t="n">
        <v>0.95</v>
      </c>
      <c r="J82" t="n">
        <v>0.003</v>
      </c>
      <c r="K82" s="28" t="n"/>
      <c r="L82" s="5" t="inlineStr">
        <is>
          <t>蔬菜</t>
        </is>
      </c>
      <c r="M82" s="57" t="n"/>
      <c r="N82" s="12" t="inlineStr">
        <is>
          <t>月付</t>
        </is>
      </c>
      <c r="O82" s="39" t="n"/>
      <c r="P82" s="39" t="n"/>
      <c r="Q82" s="39" t="n"/>
      <c r="R82" s="39" t="n"/>
      <c r="S82" s="39" t="n"/>
      <c r="T82" s="39" t="n"/>
      <c r="U82" s="39" t="n"/>
      <c r="V82" s="39" t="n"/>
      <c r="W82" s="39" t="n"/>
      <c r="X82" s="39" t="n"/>
    </row>
    <row r="83" ht="20" customHeight="1" s="170">
      <c r="A83" s="5" t="inlineStr">
        <is>
          <t>蔬菜</t>
        </is>
      </c>
      <c r="B83" s="52" t="inlineStr">
        <is>
          <t>小葱</t>
        </is>
      </c>
      <c r="C83" s="12" t="inlineStr">
        <is>
          <t>2.绵阳蔬菜</t>
        </is>
      </c>
      <c r="D83" s="7" t="n"/>
      <c r="E83" s="12" t="inlineStr">
        <is>
          <t>称重</t>
        </is>
      </c>
      <c r="F83" s="26" t="n">
        <v>500</v>
      </c>
      <c r="G83" s="189" t="n">
        <v>3.8</v>
      </c>
      <c r="H83" s="57" t="inlineStr">
        <is>
          <t>冷藏</t>
        </is>
      </c>
      <c r="I83" t="n">
        <v>1</v>
      </c>
      <c r="J83" t="n">
        <v>0.0076</v>
      </c>
      <c r="K83" s="28" t="n"/>
      <c r="L83" s="5" t="inlineStr">
        <is>
          <t>蔬菜</t>
        </is>
      </c>
      <c r="M83" s="57" t="n"/>
      <c r="N83" s="12" t="inlineStr">
        <is>
          <t>月付</t>
        </is>
      </c>
      <c r="O83" s="39" t="n"/>
      <c r="P83" s="39" t="n"/>
      <c r="Q83" s="39" t="n"/>
      <c r="R83" s="39" t="n"/>
      <c r="S83" s="39" t="n"/>
      <c r="T83" s="39" t="n"/>
      <c r="U83" s="39" t="n"/>
      <c r="V83" s="39" t="n"/>
      <c r="W83" s="39" t="n"/>
      <c r="X83" s="39" t="n"/>
    </row>
    <row r="84" ht="20" customHeight="1" s="170">
      <c r="A84" s="5" t="inlineStr">
        <is>
          <t>蔬菜</t>
        </is>
      </c>
      <c r="B84" s="52" t="inlineStr">
        <is>
          <t>大葱</t>
        </is>
      </c>
      <c r="C84" s="12" t="inlineStr">
        <is>
          <t>2.绵阳蔬菜</t>
        </is>
      </c>
      <c r="D84" s="7" t="n"/>
      <c r="E84" s="12" t="inlineStr">
        <is>
          <t>称重</t>
        </is>
      </c>
      <c r="F84" s="32" t="n">
        <v>500</v>
      </c>
      <c r="G84" s="187" t="n">
        <v>2</v>
      </c>
      <c r="H84" s="57" t="inlineStr">
        <is>
          <t>冷藏</t>
        </is>
      </c>
      <c r="I84" t="n">
        <v>1</v>
      </c>
      <c r="J84" t="n">
        <v>0.004</v>
      </c>
      <c r="K84" s="28" t="n"/>
      <c r="L84" s="5" t="inlineStr">
        <is>
          <t>蔬菜</t>
        </is>
      </c>
      <c r="M84" s="57" t="n"/>
      <c r="N84" s="12" t="inlineStr">
        <is>
          <t>月付</t>
        </is>
      </c>
      <c r="O84" s="39" t="n"/>
      <c r="P84" s="39" t="n"/>
      <c r="Q84" s="39" t="n"/>
      <c r="R84" s="39" t="n"/>
      <c r="S84" s="39" t="n"/>
      <c r="T84" s="39" t="n"/>
      <c r="U84" s="39" t="n"/>
      <c r="V84" s="39" t="n"/>
      <c r="W84" s="39" t="n"/>
      <c r="X84" s="39" t="n"/>
    </row>
    <row r="85" ht="20" customHeight="1" s="170">
      <c r="A85" s="5" t="inlineStr">
        <is>
          <t>蔬菜</t>
        </is>
      </c>
      <c r="B85" s="52" t="inlineStr">
        <is>
          <t>法香</t>
        </is>
      </c>
      <c r="C85" s="12" t="inlineStr">
        <is>
          <t>2.绵阳蔬菜</t>
        </is>
      </c>
      <c r="D85" s="7" t="n"/>
      <c r="E85" s="12" t="inlineStr">
        <is>
          <t>称重</t>
        </is>
      </c>
      <c r="F85" s="32" t="n">
        <v>500</v>
      </c>
      <c r="G85" s="187" t="n">
        <v>7</v>
      </c>
      <c r="H85" s="57" t="inlineStr">
        <is>
          <t>冷藏</t>
        </is>
      </c>
      <c r="I85" t="n">
        <v>1</v>
      </c>
      <c r="J85" t="n">
        <v>0.014</v>
      </c>
      <c r="K85" s="48" t="n"/>
      <c r="L85" s="5" t="inlineStr">
        <is>
          <t>蔬菜</t>
        </is>
      </c>
      <c r="M85" s="57" t="n"/>
      <c r="N85" s="12" t="inlineStr">
        <is>
          <t>月付</t>
        </is>
      </c>
      <c r="O85" s="39" t="n"/>
      <c r="P85" s="39" t="n"/>
      <c r="Q85" s="39" t="n"/>
      <c r="R85" s="39" t="n"/>
      <c r="S85" s="39" t="n"/>
      <c r="T85" s="39" t="n"/>
      <c r="U85" s="39" t="n"/>
      <c r="V85" s="39" t="n"/>
      <c r="W85" s="39" t="n"/>
      <c r="X85" s="39" t="n"/>
    </row>
    <row r="86" ht="20" customHeight="1" s="170">
      <c r="A86" s="42" t="inlineStr">
        <is>
          <t>蔬菜</t>
        </is>
      </c>
      <c r="B86" s="52" t="inlineStr">
        <is>
          <t>千叶吊兰</t>
        </is>
      </c>
      <c r="C86" s="12" t="inlineStr">
        <is>
          <t>2.绵阳蔬菜</t>
        </is>
      </c>
      <c r="D86" s="7" t="n"/>
      <c r="E86" s="12" t="inlineStr">
        <is>
          <t>盆</t>
        </is>
      </c>
      <c r="F86" s="26" t="inlineStr">
        <is>
          <t>1盆</t>
        </is>
      </c>
      <c r="G86" s="187" t="n">
        <v>18</v>
      </c>
      <c r="H86" s="57" t="inlineStr">
        <is>
          <t>常温</t>
        </is>
      </c>
      <c r="I86" t="n">
        <v>1</v>
      </c>
      <c r="K86" s="28" t="n"/>
      <c r="L86" s="42" t="inlineStr">
        <is>
          <t>蔬菜</t>
        </is>
      </c>
      <c r="M86" s="57" t="n"/>
      <c r="N86" s="12" t="inlineStr">
        <is>
          <t>月付</t>
        </is>
      </c>
      <c r="O86" s="39" t="n"/>
      <c r="P86" s="39" t="n"/>
      <c r="Q86" s="39" t="n"/>
      <c r="R86" s="39" t="n"/>
      <c r="S86" s="39" t="n"/>
      <c r="T86" s="39" t="n"/>
      <c r="U86" s="39" t="n"/>
      <c r="V86" s="39" t="n"/>
      <c r="W86" s="39" t="n"/>
      <c r="X86" s="39" t="n"/>
    </row>
    <row r="87" ht="20" customHeight="1" s="170">
      <c r="A87" s="43" t="inlineStr">
        <is>
          <t>蔬菜</t>
        </is>
      </c>
      <c r="B87" s="19" t="inlineStr">
        <is>
          <t>羊齿叶</t>
        </is>
      </c>
      <c r="C87" s="12" t="inlineStr">
        <is>
          <t>2.绵阳蔬菜</t>
        </is>
      </c>
      <c r="D87" s="7" t="n"/>
      <c r="E87" s="12" t="inlineStr">
        <is>
          <t>称重</t>
        </is>
      </c>
      <c r="F87" s="26" t="n"/>
      <c r="G87" s="187" t="n"/>
      <c r="H87" s="57" t="inlineStr">
        <is>
          <t>常温</t>
        </is>
      </c>
      <c r="I87" t="n">
        <v>1</v>
      </c>
      <c r="K87" s="28" t="n"/>
      <c r="L87" s="43" t="inlineStr">
        <is>
          <t>蔬菜</t>
        </is>
      </c>
      <c r="M87" s="49" t="n"/>
      <c r="N87" s="12" t="inlineStr">
        <is>
          <t>月付</t>
        </is>
      </c>
      <c r="O87" s="39" t="n"/>
      <c r="P87" s="39" t="n"/>
      <c r="Q87" s="39" t="n"/>
      <c r="R87" s="39" t="n"/>
      <c r="S87" s="39" t="n"/>
      <c r="T87" s="39" t="n"/>
      <c r="U87" s="39" t="n"/>
      <c r="V87" s="39" t="n"/>
      <c r="W87" s="39" t="n"/>
      <c r="X87" s="39" t="n"/>
    </row>
    <row r="88" ht="20" customHeight="1" s="170">
      <c r="A88" s="43" t="inlineStr">
        <is>
          <t>蔬菜</t>
        </is>
      </c>
      <c r="B88" s="19" t="inlineStr">
        <is>
          <t>薄荷</t>
        </is>
      </c>
      <c r="C88" s="12" t="inlineStr">
        <is>
          <t>2.绵阳蔬菜</t>
        </is>
      </c>
      <c r="D88" s="7" t="n"/>
      <c r="E88" s="12" t="inlineStr">
        <is>
          <t>称重</t>
        </is>
      </c>
      <c r="F88" s="26" t="n">
        <v>500</v>
      </c>
      <c r="G88" s="187" t="n">
        <v>9</v>
      </c>
      <c r="H88" s="57" t="inlineStr">
        <is>
          <t>冷藏</t>
        </is>
      </c>
      <c r="I88" t="n">
        <v>0.85</v>
      </c>
      <c r="J88" t="n">
        <v>0.018</v>
      </c>
      <c r="K88" s="28" t="n"/>
      <c r="L88" s="43" t="inlineStr">
        <is>
          <t>蔬菜</t>
        </is>
      </c>
      <c r="M88" s="49" t="n"/>
      <c r="N88" s="12" t="inlineStr">
        <is>
          <t>月付</t>
        </is>
      </c>
      <c r="O88" s="39" t="n"/>
      <c r="P88" s="39" t="n"/>
      <c r="Q88" s="39" t="n"/>
      <c r="R88" s="39" t="n"/>
      <c r="S88" s="39" t="n"/>
      <c r="T88" s="39" t="n"/>
      <c r="U88" s="39" t="n"/>
      <c r="V88" s="39" t="n"/>
      <c r="W88" s="39" t="n"/>
      <c r="X88" s="39" t="n"/>
    </row>
    <row r="89" ht="20" customHeight="1" s="170">
      <c r="A89" s="43" t="inlineStr">
        <is>
          <t>蔬菜</t>
        </is>
      </c>
      <c r="B89" s="19" t="inlineStr">
        <is>
          <t>紫苏叶</t>
        </is>
      </c>
      <c r="C89" s="12" t="inlineStr">
        <is>
          <t>2.绵阳蔬菜</t>
        </is>
      </c>
      <c r="D89" s="7" t="n"/>
      <c r="E89" s="12" t="inlineStr">
        <is>
          <t>称重</t>
        </is>
      </c>
      <c r="F89" s="26" t="n">
        <v>500</v>
      </c>
      <c r="G89" s="187" t="n">
        <v>8</v>
      </c>
      <c r="H89" s="57" t="inlineStr">
        <is>
          <t>冷藏</t>
        </is>
      </c>
      <c r="I89" t="n">
        <v>1</v>
      </c>
      <c r="J89" t="n">
        <v>0.016</v>
      </c>
      <c r="K89" s="28" t="n"/>
      <c r="L89" s="43" t="inlineStr">
        <is>
          <t>蔬菜</t>
        </is>
      </c>
      <c r="M89" s="49" t="n"/>
      <c r="N89" s="12" t="inlineStr">
        <is>
          <t>月付</t>
        </is>
      </c>
      <c r="O89" s="39" t="n"/>
      <c r="P89" s="39" t="n"/>
      <c r="Q89" s="39" t="n"/>
      <c r="R89" s="39" t="n"/>
      <c r="S89" s="39" t="n"/>
      <c r="T89" s="39" t="n"/>
      <c r="U89" s="39" t="n"/>
      <c r="V89" s="39" t="n"/>
      <c r="W89" s="39" t="n"/>
      <c r="X89" s="39" t="n"/>
    </row>
    <row r="90" ht="17.6" customHeight="1" s="170">
      <c r="A90" s="43" t="inlineStr">
        <is>
          <t>蔬菜</t>
        </is>
      </c>
      <c r="B90" s="19" t="inlineStr">
        <is>
          <t>紫苏碎</t>
        </is>
      </c>
      <c r="C90" s="12" t="inlineStr">
        <is>
          <t>2.绵阳蔬菜</t>
        </is>
      </c>
      <c r="D90" s="7" t="n"/>
      <c r="E90" s="12" t="inlineStr">
        <is>
          <t>称重</t>
        </is>
      </c>
      <c r="F90" s="26" t="n">
        <v>500</v>
      </c>
      <c r="G90" s="187" t="n">
        <v>15</v>
      </c>
      <c r="H90" s="57" t="inlineStr">
        <is>
          <t>冷藏</t>
        </is>
      </c>
      <c r="I90" t="n">
        <v>1</v>
      </c>
      <c r="J90" t="n">
        <v>0.03</v>
      </c>
      <c r="K90" s="28" t="n"/>
      <c r="L90" s="43" t="inlineStr">
        <is>
          <t>蔬菜</t>
        </is>
      </c>
      <c r="M90" s="49" t="n"/>
      <c r="N90" s="12" t="inlineStr">
        <is>
          <t>月付</t>
        </is>
      </c>
      <c r="O90" s="39" t="n"/>
      <c r="P90" s="39" t="n"/>
      <c r="Q90" s="39" t="n"/>
      <c r="R90" s="39" t="n"/>
      <c r="S90" s="39" t="n"/>
      <c r="T90" s="39" t="n"/>
      <c r="U90" s="39" t="n"/>
      <c r="V90" s="39" t="n"/>
      <c r="W90" s="39" t="n"/>
      <c r="X90" s="39" t="n"/>
    </row>
    <row r="91" ht="17.6" customHeight="1" s="170">
      <c r="A91" s="43" t="inlineStr">
        <is>
          <t>蔬菜</t>
        </is>
      </c>
      <c r="B91" s="19" t="inlineStr">
        <is>
          <t>斑斓叶</t>
        </is>
      </c>
      <c r="C91" s="12" t="inlineStr">
        <is>
          <t>2.绵阳蔬菜</t>
        </is>
      </c>
      <c r="D91" s="7" t="n"/>
      <c r="E91" s="12" t="inlineStr">
        <is>
          <t>称重</t>
        </is>
      </c>
      <c r="F91" s="26" t="n">
        <v>500</v>
      </c>
      <c r="G91" s="187" t="n">
        <v>10</v>
      </c>
      <c r="H91" s="57" t="inlineStr">
        <is>
          <t>冷藏</t>
        </is>
      </c>
      <c r="I91" t="n">
        <v>1</v>
      </c>
      <c r="J91" t="n">
        <v>0.02</v>
      </c>
      <c r="K91" s="28" t="n"/>
      <c r="L91" s="43" t="inlineStr">
        <is>
          <t>蔬菜</t>
        </is>
      </c>
      <c r="M91" s="49" t="n"/>
      <c r="N91" s="12" t="inlineStr">
        <is>
          <t>月付</t>
        </is>
      </c>
      <c r="O91" s="39" t="n"/>
      <c r="P91" s="39" t="n"/>
      <c r="Q91" s="39" t="n"/>
      <c r="R91" s="39" t="n"/>
      <c r="S91" s="39" t="n"/>
      <c r="T91" s="39" t="n"/>
      <c r="U91" s="39" t="n"/>
      <c r="V91" s="39" t="n"/>
      <c r="W91" s="39" t="n"/>
      <c r="X91" s="39" t="n"/>
    </row>
    <row r="92" ht="17.6" customHeight="1" s="170">
      <c r="A92" s="43" t="inlineStr">
        <is>
          <t>蔬菜</t>
        </is>
      </c>
      <c r="B92" s="19" t="inlineStr">
        <is>
          <t>莲白</t>
        </is>
      </c>
      <c r="C92" s="12" t="inlineStr">
        <is>
          <t>2.绵阳蔬菜</t>
        </is>
      </c>
      <c r="D92" s="7" t="n"/>
      <c r="E92" s="12" t="inlineStr">
        <is>
          <t>称重</t>
        </is>
      </c>
      <c r="F92" s="26" t="n">
        <v>500</v>
      </c>
      <c r="G92" s="187" t="n">
        <v>1</v>
      </c>
      <c r="H92" s="57" t="inlineStr">
        <is>
          <t>冷藏</t>
        </is>
      </c>
      <c r="I92" t="n">
        <v>1</v>
      </c>
      <c r="J92" t="n">
        <v>0.002</v>
      </c>
      <c r="K92" s="28" t="n"/>
      <c r="L92" s="43" t="inlineStr">
        <is>
          <t>蔬菜</t>
        </is>
      </c>
      <c r="M92" s="49" t="n"/>
      <c r="N92" s="12" t="inlineStr">
        <is>
          <t>月付</t>
        </is>
      </c>
      <c r="O92" s="39" t="n"/>
      <c r="P92" s="39" t="n"/>
      <c r="Q92" s="39" t="n"/>
      <c r="R92" s="39" t="n"/>
      <c r="S92" s="39" t="n"/>
      <c r="T92" s="39" t="n"/>
      <c r="U92" s="39" t="n"/>
      <c r="V92" s="39" t="n"/>
      <c r="W92" s="39" t="n"/>
      <c r="X92" s="39" t="n"/>
    </row>
    <row r="93" ht="17.6" customHeight="1" s="170">
      <c r="A93" s="43" t="inlineStr">
        <is>
          <t>蔬菜</t>
        </is>
      </c>
      <c r="B93" s="19" t="inlineStr">
        <is>
          <t>羽衣甘蓝</t>
        </is>
      </c>
      <c r="C93" s="12" t="inlineStr">
        <is>
          <t>2.绵阳蔬菜</t>
        </is>
      </c>
      <c r="D93" s="7" t="n"/>
      <c r="E93" s="12" t="inlineStr">
        <is>
          <t>称重</t>
        </is>
      </c>
      <c r="F93" s="32" t="n">
        <v>500</v>
      </c>
      <c r="G93" s="187" t="n">
        <v>8</v>
      </c>
      <c r="H93" s="57" t="inlineStr">
        <is>
          <t>常温</t>
        </is>
      </c>
      <c r="I93" t="n">
        <v>1</v>
      </c>
      <c r="J93" t="n">
        <v>0.016</v>
      </c>
      <c r="K93" s="28" t="n"/>
      <c r="L93" s="43" t="inlineStr">
        <is>
          <t>蔬菜</t>
        </is>
      </c>
      <c r="M93" s="49" t="n"/>
      <c r="N93" s="12" t="inlineStr">
        <is>
          <t>月付</t>
        </is>
      </c>
      <c r="O93" s="39" t="n"/>
      <c r="P93" s="39" t="n"/>
      <c r="Q93" s="39" t="n"/>
      <c r="R93" s="39" t="n"/>
      <c r="S93" s="39" t="n"/>
      <c r="T93" s="39" t="n"/>
      <c r="U93" s="39" t="n"/>
      <c r="V93" s="39" t="n"/>
      <c r="W93" s="39" t="n"/>
      <c r="X93" s="39" t="n"/>
    </row>
    <row r="94" ht="17.6" customHeight="1" s="170">
      <c r="A94" s="43" t="inlineStr">
        <is>
          <t>蔬菜</t>
        </is>
      </c>
      <c r="B94" s="19" t="inlineStr">
        <is>
          <t>红叶生菜</t>
        </is>
      </c>
      <c r="C94" s="12" t="inlineStr">
        <is>
          <t>2.绵阳蔬菜</t>
        </is>
      </c>
      <c r="D94" s="7" t="n"/>
      <c r="E94" s="12" t="inlineStr">
        <is>
          <t>称重</t>
        </is>
      </c>
      <c r="F94" s="26" t="n">
        <v>500</v>
      </c>
      <c r="G94" s="187" t="n">
        <v>7</v>
      </c>
      <c r="H94" s="57" t="inlineStr">
        <is>
          <t>常温</t>
        </is>
      </c>
      <c r="I94" t="n">
        <v>1</v>
      </c>
      <c r="J94" t="n">
        <v>0.014</v>
      </c>
      <c r="K94" s="28" t="n"/>
      <c r="L94" s="43" t="inlineStr">
        <is>
          <t>蔬菜</t>
        </is>
      </c>
      <c r="M94" s="49" t="n"/>
      <c r="N94" s="12" t="inlineStr">
        <is>
          <t>月付</t>
        </is>
      </c>
      <c r="O94" s="39" t="n"/>
      <c r="P94" s="39" t="n"/>
      <c r="Q94" s="39" t="n"/>
      <c r="R94" s="39" t="n"/>
      <c r="S94" s="39" t="n"/>
      <c r="T94" s="39" t="n"/>
      <c r="U94" s="39" t="n"/>
      <c r="V94" s="39" t="n"/>
      <c r="W94" s="39" t="n"/>
      <c r="X94" s="39" t="n"/>
    </row>
    <row r="95" ht="17.6" customHeight="1" s="170">
      <c r="A95" s="43" t="inlineStr">
        <is>
          <t>蔬菜</t>
        </is>
      </c>
      <c r="B95" s="19" t="inlineStr">
        <is>
          <t>甜玉米</t>
        </is>
      </c>
      <c r="C95" s="12" t="inlineStr">
        <is>
          <t>2.绵阳蔬菜</t>
        </is>
      </c>
      <c r="D95" s="7" t="n"/>
      <c r="E95" s="12" t="inlineStr">
        <is>
          <t>称重</t>
        </is>
      </c>
      <c r="F95" s="26" t="n">
        <v>500</v>
      </c>
      <c r="G95" s="187" t="n">
        <v>2.3</v>
      </c>
      <c r="H95" s="57" t="inlineStr">
        <is>
          <t>冷藏</t>
        </is>
      </c>
      <c r="I95" t="n">
        <v>0.7</v>
      </c>
      <c r="J95" t="n">
        <v>0.0046</v>
      </c>
      <c r="K95" s="28" t="n"/>
      <c r="L95" s="43" t="inlineStr">
        <is>
          <t>蔬菜</t>
        </is>
      </c>
      <c r="M95" s="49" t="n"/>
      <c r="N95" s="12" t="inlineStr">
        <is>
          <t>月付</t>
        </is>
      </c>
      <c r="O95" s="39" t="n"/>
      <c r="P95" s="39" t="n"/>
      <c r="Q95" s="39" t="n"/>
      <c r="R95" s="39" t="n"/>
      <c r="S95" s="39" t="n"/>
      <c r="T95" s="39" t="n"/>
      <c r="U95" s="39" t="n"/>
      <c r="V95" s="39" t="n"/>
      <c r="W95" s="39" t="n"/>
      <c r="X95" s="39" t="n"/>
    </row>
    <row r="96" ht="17.6" customHeight="1" s="170">
      <c r="A96" s="43" t="inlineStr">
        <is>
          <t>蔬菜</t>
        </is>
      </c>
      <c r="B96" s="19" t="inlineStr">
        <is>
          <t>口蘑</t>
        </is>
      </c>
      <c r="C96" s="12" t="inlineStr">
        <is>
          <t>2.绵阳蔬菜</t>
        </is>
      </c>
      <c r="D96" s="7" t="n"/>
      <c r="E96" s="12" t="inlineStr">
        <is>
          <t>称重</t>
        </is>
      </c>
      <c r="F96" s="26" t="n">
        <v>500</v>
      </c>
      <c r="G96" s="187" t="n">
        <v>11</v>
      </c>
      <c r="H96" s="57" t="inlineStr">
        <is>
          <t>冷藏</t>
        </is>
      </c>
      <c r="I96" t="n">
        <v>1</v>
      </c>
      <c r="J96" t="n">
        <v>0.022</v>
      </c>
      <c r="K96" s="28" t="n"/>
      <c r="L96" s="43" t="inlineStr">
        <is>
          <t>蔬菜</t>
        </is>
      </c>
      <c r="M96" s="49" t="n"/>
      <c r="N96" s="12" t="inlineStr">
        <is>
          <t>月付</t>
        </is>
      </c>
      <c r="O96" s="39" t="n"/>
      <c r="P96" s="39" t="n"/>
      <c r="Q96" s="39" t="n"/>
      <c r="R96" s="39" t="n"/>
      <c r="S96" s="39" t="n"/>
      <c r="T96" s="39" t="n"/>
      <c r="U96" s="39" t="n"/>
      <c r="V96" s="39" t="n"/>
      <c r="W96" s="39" t="n"/>
      <c r="X96" s="39" t="n"/>
    </row>
    <row r="97" ht="17.6" customHeight="1" s="170">
      <c r="A97" s="43" t="inlineStr">
        <is>
          <t>蔬菜</t>
        </is>
      </c>
      <c r="B97" s="19" t="inlineStr">
        <is>
          <t>仔姜</t>
        </is>
      </c>
      <c r="C97" s="12" t="inlineStr">
        <is>
          <t>2.绵阳蔬菜</t>
        </is>
      </c>
      <c r="D97" s="7" t="n"/>
      <c r="E97" s="12" t="inlineStr">
        <is>
          <t>称重</t>
        </is>
      </c>
      <c r="F97" s="26" t="n">
        <v>500</v>
      </c>
      <c r="G97" s="187" t="n">
        <v>7</v>
      </c>
      <c r="H97" s="57" t="inlineStr">
        <is>
          <t>冷藏</t>
        </is>
      </c>
      <c r="I97" t="n">
        <v>1</v>
      </c>
      <c r="J97" t="n">
        <v>0.014</v>
      </c>
      <c r="K97" s="28" t="n"/>
      <c r="L97" s="43" t="inlineStr">
        <is>
          <t>蔬菜</t>
        </is>
      </c>
      <c r="M97" s="49" t="n"/>
      <c r="N97" s="12" t="inlineStr">
        <is>
          <t>月付</t>
        </is>
      </c>
      <c r="O97" s="39" t="n"/>
      <c r="P97" s="39" t="n"/>
      <c r="Q97" s="39" t="n"/>
      <c r="R97" s="39" t="n"/>
      <c r="S97" s="39" t="n"/>
      <c r="T97" s="39" t="n"/>
      <c r="U97" s="39" t="n"/>
      <c r="V97" s="39" t="n"/>
      <c r="W97" s="39" t="n"/>
      <c r="X97" s="39" t="n"/>
    </row>
    <row r="98" ht="17.6" customHeight="1" s="170">
      <c r="A98" s="43" t="inlineStr">
        <is>
          <t>蔬菜</t>
        </is>
      </c>
      <c r="B98" s="19" t="inlineStr">
        <is>
          <t>洋葱</t>
        </is>
      </c>
      <c r="C98" s="12" t="inlineStr">
        <is>
          <t>2.绵阳蔬菜</t>
        </is>
      </c>
      <c r="D98" s="23" t="n"/>
      <c r="E98" s="12" t="inlineStr">
        <is>
          <t>称重</t>
        </is>
      </c>
      <c r="F98" s="26" t="n">
        <v>500</v>
      </c>
      <c r="G98" s="187" t="n">
        <v>6.4</v>
      </c>
      <c r="H98" s="57" t="inlineStr">
        <is>
          <t>冷藏</t>
        </is>
      </c>
      <c r="I98" t="n">
        <v>0.95</v>
      </c>
      <c r="J98" t="n">
        <v>0.0128</v>
      </c>
      <c r="K98" s="28" t="n"/>
      <c r="L98" s="43" t="inlineStr">
        <is>
          <t>蔬菜</t>
        </is>
      </c>
      <c r="M98" s="49" t="n"/>
      <c r="N98" s="12" t="inlineStr">
        <is>
          <t>月付</t>
        </is>
      </c>
      <c r="O98" s="39" t="n"/>
      <c r="P98" s="39" t="n"/>
      <c r="Q98" s="39" t="n"/>
      <c r="R98" s="39" t="n"/>
      <c r="S98" s="39" t="n"/>
      <c r="T98" s="39" t="n"/>
      <c r="U98" s="39" t="n"/>
      <c r="V98" s="39" t="n"/>
      <c r="W98" s="39" t="n"/>
      <c r="X98" s="39" t="n"/>
    </row>
    <row r="99" ht="17.6" customHeight="1" s="170">
      <c r="A99" s="43" t="inlineStr">
        <is>
          <t>蔬菜</t>
        </is>
      </c>
      <c r="B99" s="19" t="inlineStr">
        <is>
          <t>粽叶</t>
        </is>
      </c>
      <c r="C99" s="12" t="inlineStr">
        <is>
          <t>2.绵阳蔬菜</t>
        </is>
      </c>
      <c r="D99" s="7" t="n"/>
      <c r="E99" s="12" t="inlineStr">
        <is>
          <t>称重</t>
        </is>
      </c>
      <c r="F99" s="26" t="n">
        <v>1</v>
      </c>
      <c r="G99" s="187">
        <f>8/80</f>
        <v/>
      </c>
      <c r="H99" s="57" t="inlineStr">
        <is>
          <t>冷藏</t>
        </is>
      </c>
      <c r="I99" t="n">
        <v>1</v>
      </c>
      <c r="K99" s="12" t="inlineStr">
        <is>
          <t>单位：张</t>
        </is>
      </c>
      <c r="L99" s="43" t="inlineStr">
        <is>
          <t>蔬菜</t>
        </is>
      </c>
      <c r="M99" s="49" t="n"/>
      <c r="N99" s="12" t="inlineStr">
        <is>
          <t>月付</t>
        </is>
      </c>
      <c r="O99" s="39" t="n"/>
      <c r="P99" s="39" t="n"/>
      <c r="Q99" s="39" t="n"/>
      <c r="R99" s="39" t="n"/>
      <c r="S99" s="39" t="n"/>
      <c r="T99" s="39" t="n"/>
      <c r="U99" s="39" t="n"/>
      <c r="V99" s="39" t="n"/>
      <c r="W99" s="39" t="n"/>
      <c r="X99" s="39" t="n"/>
    </row>
    <row r="100" ht="17.6" customHeight="1" s="170">
      <c r="A100" s="43" t="inlineStr">
        <is>
          <t>蔬菜</t>
        </is>
      </c>
      <c r="B100" s="19" t="inlineStr">
        <is>
          <t>茴香苗</t>
        </is>
      </c>
      <c r="C100" s="12" t="inlineStr">
        <is>
          <t>2.绵阳蔬菜</t>
        </is>
      </c>
      <c r="D100" s="7" t="n"/>
      <c r="E100" s="12" t="inlineStr">
        <is>
          <t>称重</t>
        </is>
      </c>
      <c r="F100" s="26" t="n">
        <v>500</v>
      </c>
      <c r="G100" s="187" t="n">
        <v>9</v>
      </c>
      <c r="H100" s="57" t="inlineStr">
        <is>
          <t>冷藏</t>
        </is>
      </c>
      <c r="I100" t="n">
        <v>0.9</v>
      </c>
      <c r="J100" t="n">
        <v>0.018</v>
      </c>
      <c r="K100" s="28" t="n"/>
      <c r="L100" s="43" t="inlineStr">
        <is>
          <t>蔬菜</t>
        </is>
      </c>
      <c r="M100" s="49" t="n"/>
      <c r="N100" s="12" t="inlineStr">
        <is>
          <t>月付</t>
        </is>
      </c>
      <c r="O100" s="39" t="n"/>
      <c r="P100" s="39" t="n"/>
      <c r="Q100" s="39" t="n"/>
      <c r="R100" s="39" t="n"/>
      <c r="S100" s="39" t="n"/>
      <c r="T100" s="39" t="n"/>
      <c r="U100" s="39" t="n"/>
      <c r="V100" s="39" t="n"/>
      <c r="W100" s="39" t="n"/>
      <c r="X100" s="39" t="n"/>
    </row>
    <row r="101" ht="17.6" customHeight="1" s="170">
      <c r="A101" s="43" t="inlineStr">
        <is>
          <t>蔬菜</t>
        </is>
      </c>
      <c r="B101" s="19" t="inlineStr">
        <is>
          <t>白芹菜</t>
        </is>
      </c>
      <c r="C101" s="12" t="inlineStr">
        <is>
          <t>2.绵阳蔬菜</t>
        </is>
      </c>
      <c r="D101" s="7" t="n"/>
      <c r="E101" s="12" t="inlineStr">
        <is>
          <t>称重</t>
        </is>
      </c>
      <c r="F101" s="26" t="n">
        <v>500</v>
      </c>
      <c r="G101" s="187" t="n">
        <v>3.5</v>
      </c>
      <c r="H101" s="57" t="inlineStr">
        <is>
          <t>冷藏</t>
        </is>
      </c>
      <c r="I101" t="n">
        <v>1</v>
      </c>
      <c r="J101" t="n">
        <v>0.007</v>
      </c>
      <c r="K101" s="28" t="n"/>
      <c r="L101" s="43" t="inlineStr">
        <is>
          <t>蔬菜</t>
        </is>
      </c>
      <c r="M101" s="49" t="n"/>
      <c r="N101" s="12" t="inlineStr">
        <is>
          <t>月付</t>
        </is>
      </c>
      <c r="O101" s="39" t="n"/>
      <c r="P101" s="39" t="n"/>
      <c r="Q101" s="39" t="n"/>
      <c r="R101" s="39" t="n"/>
      <c r="S101" s="39" t="n"/>
      <c r="T101" s="39" t="n"/>
      <c r="U101" s="39" t="n"/>
      <c r="V101" s="39" t="n"/>
      <c r="W101" s="39" t="n"/>
      <c r="X101" s="39" t="n"/>
    </row>
    <row r="102" ht="17.6" customHeight="1" s="170">
      <c r="A102" s="44" t="inlineStr">
        <is>
          <t>肉类</t>
        </is>
      </c>
      <c r="B102" s="19" t="inlineStr">
        <is>
          <t>猪肉沫</t>
        </is>
      </c>
      <c r="C102" s="12" t="inlineStr">
        <is>
          <t>2.绵阳蔬菜</t>
        </is>
      </c>
      <c r="D102" s="7" t="n"/>
      <c r="E102" s="12" t="inlineStr">
        <is>
          <t>称重</t>
        </is>
      </c>
      <c r="F102" s="26" t="n">
        <v>500</v>
      </c>
      <c r="G102" s="187" t="n">
        <v>10.5</v>
      </c>
      <c r="H102" s="57" t="inlineStr">
        <is>
          <t>冷藏</t>
        </is>
      </c>
      <c r="I102" t="n">
        <v>1</v>
      </c>
      <c r="J102" t="n">
        <v>0.021</v>
      </c>
      <c r="K102" s="28" t="n"/>
      <c r="L102" s="44" t="inlineStr">
        <is>
          <t>肉类</t>
        </is>
      </c>
      <c r="M102" s="49" t="n"/>
      <c r="N102" s="12" t="inlineStr">
        <is>
          <t>月付</t>
        </is>
      </c>
      <c r="O102" s="39" t="n"/>
      <c r="P102" s="39" t="n"/>
      <c r="Q102" s="39" t="n"/>
      <c r="R102" s="39" t="n"/>
      <c r="S102" s="39" t="n"/>
      <c r="T102" s="39" t="n"/>
      <c r="U102" s="39" t="n"/>
      <c r="V102" s="39" t="n"/>
      <c r="W102" s="39" t="n"/>
      <c r="X102" s="39" t="n"/>
    </row>
    <row r="103" ht="17.6" customHeight="1" s="170">
      <c r="A103" s="43" t="inlineStr">
        <is>
          <t>蔬菜</t>
        </is>
      </c>
      <c r="B103" s="19" t="inlineStr">
        <is>
          <t>饺子皮</t>
        </is>
      </c>
      <c r="C103" s="12" t="inlineStr">
        <is>
          <t>2.绵阳蔬菜</t>
        </is>
      </c>
      <c r="D103" s="7" t="n"/>
      <c r="E103" s="12" t="inlineStr">
        <is>
          <t>称重</t>
        </is>
      </c>
      <c r="F103" s="26" t="n">
        <v>500</v>
      </c>
      <c r="G103" s="187" t="n">
        <v>3</v>
      </c>
      <c r="H103" s="57" t="inlineStr">
        <is>
          <t>冷藏</t>
        </is>
      </c>
      <c r="I103" t="n">
        <v>1</v>
      </c>
      <c r="J103" t="n">
        <v>0.006</v>
      </c>
      <c r="K103" s="28" t="n"/>
      <c r="L103" s="43" t="inlineStr">
        <is>
          <t>蔬菜</t>
        </is>
      </c>
      <c r="M103" s="49" t="n"/>
      <c r="N103" s="12" t="inlineStr">
        <is>
          <t>月付</t>
        </is>
      </c>
      <c r="O103" s="39" t="n"/>
      <c r="P103" s="39" t="n"/>
      <c r="Q103" s="39" t="n"/>
      <c r="R103" s="39" t="n"/>
      <c r="S103" s="39" t="n"/>
      <c r="T103" s="39" t="n"/>
      <c r="U103" s="39" t="n"/>
      <c r="V103" s="39" t="n"/>
      <c r="W103" s="39" t="n"/>
      <c r="X103" s="39" t="n"/>
    </row>
    <row r="104" ht="17.6" customHeight="1" s="170">
      <c r="A104" s="44" t="inlineStr">
        <is>
          <t>肉类</t>
        </is>
      </c>
      <c r="B104" s="19" t="inlineStr">
        <is>
          <t>猪肉</t>
        </is>
      </c>
      <c r="C104" s="12" t="inlineStr">
        <is>
          <t>2.绵阳蔬菜</t>
        </is>
      </c>
      <c r="D104" s="7" t="n"/>
      <c r="E104" s="12" t="inlineStr">
        <is>
          <t>称重</t>
        </is>
      </c>
      <c r="F104" s="26" t="n">
        <v>500</v>
      </c>
      <c r="G104" s="187" t="n">
        <v>10</v>
      </c>
      <c r="H104" s="28" t="n"/>
      <c r="I104" t="n">
        <v>1</v>
      </c>
      <c r="J104" t="n">
        <v>0.02</v>
      </c>
      <c r="K104" s="28" t="n"/>
      <c r="L104" s="44" t="inlineStr">
        <is>
          <t>肉类</t>
        </is>
      </c>
      <c r="M104" s="49" t="n"/>
      <c r="N104" s="12" t="inlineStr">
        <is>
          <t>月付</t>
        </is>
      </c>
      <c r="O104" s="39" t="n"/>
      <c r="P104" s="39" t="n"/>
      <c r="Q104" s="39" t="n"/>
      <c r="R104" s="39" t="n"/>
      <c r="S104" s="39" t="n"/>
      <c r="T104" s="39" t="n"/>
      <c r="U104" s="39" t="n"/>
      <c r="V104" s="39" t="n"/>
      <c r="W104" s="39" t="n"/>
      <c r="X104" s="39" t="n"/>
    </row>
    <row r="105" ht="17.6" customHeight="1" s="170">
      <c r="A105" s="45" t="inlineStr">
        <is>
          <t>蔬菜</t>
        </is>
      </c>
      <c r="B105" s="19" t="inlineStr">
        <is>
          <t>仔姜</t>
        </is>
      </c>
      <c r="C105" s="12" t="inlineStr">
        <is>
          <t>2.绵阳蔬菜</t>
        </is>
      </c>
      <c r="D105" s="7" t="n"/>
      <c r="E105" s="12" t="inlineStr">
        <is>
          <t>称重</t>
        </is>
      </c>
      <c r="F105" s="26" t="n">
        <v>500</v>
      </c>
      <c r="G105" s="187" t="n">
        <v>7</v>
      </c>
      <c r="H105" s="28" t="n"/>
      <c r="I105" t="n">
        <v>1</v>
      </c>
      <c r="J105" t="n">
        <v>0.014</v>
      </c>
      <c r="K105" s="28" t="n"/>
      <c r="L105" s="45" t="inlineStr">
        <is>
          <t>蔬菜</t>
        </is>
      </c>
      <c r="M105" s="49" t="n"/>
      <c r="N105" s="12" t="inlineStr">
        <is>
          <t>月付</t>
        </is>
      </c>
      <c r="O105" s="39" t="n"/>
      <c r="P105" s="39" t="n"/>
      <c r="Q105" s="39" t="n"/>
      <c r="R105" s="39" t="n"/>
      <c r="S105" s="39" t="n"/>
      <c r="T105" s="39" t="n"/>
      <c r="U105" s="39" t="n"/>
      <c r="V105" s="39" t="n"/>
      <c r="W105" s="39" t="n"/>
      <c r="X105" s="39" t="n"/>
    </row>
    <row r="106" ht="17.6" customHeight="1" s="170">
      <c r="A106" s="43" t="inlineStr">
        <is>
          <t>海鲜</t>
        </is>
      </c>
      <c r="B106" s="19" t="inlineStr">
        <is>
          <t>罗非鱼</t>
        </is>
      </c>
      <c r="C106" s="46" t="inlineStr">
        <is>
          <t>4.绵阳海鲜</t>
        </is>
      </c>
      <c r="D106" s="23" t="n"/>
      <c r="E106" s="52" t="inlineStr">
        <is>
          <t>条</t>
        </is>
      </c>
      <c r="F106" s="26" t="n">
        <v>1</v>
      </c>
      <c r="G106" s="187" t="n">
        <v>17</v>
      </c>
      <c r="H106" s="57" t="inlineStr">
        <is>
          <t>水养</t>
        </is>
      </c>
      <c r="I106" t="n">
        <v>1</v>
      </c>
      <c r="J106" t="n">
        <v>17</v>
      </c>
      <c r="K106" s="57" t="inlineStr">
        <is>
          <t>单位：条</t>
        </is>
      </c>
      <c r="L106" s="43" t="inlineStr">
        <is>
          <t>海鲜</t>
        </is>
      </c>
      <c r="M106" s="57" t="n"/>
      <c r="N106" s="12" t="inlineStr">
        <is>
          <t>月付</t>
        </is>
      </c>
      <c r="O106" s="39" t="n"/>
      <c r="P106" s="39" t="n"/>
      <c r="Q106" s="39" t="n"/>
      <c r="R106" s="39" t="n"/>
      <c r="S106" s="39" t="n"/>
      <c r="T106" s="39" t="n"/>
      <c r="U106" s="39" t="n"/>
      <c r="V106" s="39" t="n"/>
      <c r="W106" s="39" t="n"/>
      <c r="X106" s="39" t="n"/>
    </row>
    <row r="107" ht="17.6" customHeight="1" s="170">
      <c r="A107" s="43" t="inlineStr">
        <is>
          <t>海鲜</t>
        </is>
      </c>
      <c r="B107" s="19" t="inlineStr">
        <is>
          <t>基围虾</t>
        </is>
      </c>
      <c r="C107" s="46" t="inlineStr">
        <is>
          <t>4.绵阳海鲜</t>
        </is>
      </c>
      <c r="D107" s="7" t="n"/>
      <c r="E107" s="52" t="inlineStr">
        <is>
          <t>20g/只</t>
        </is>
      </c>
      <c r="F107" s="26" t="n">
        <v>1</v>
      </c>
      <c r="G107" s="187" t="n">
        <v>2</v>
      </c>
      <c r="H107" s="57" t="inlineStr">
        <is>
          <t>水养</t>
        </is>
      </c>
      <c r="I107" t="n">
        <v>1</v>
      </c>
      <c r="J107" t="n">
        <v>2</v>
      </c>
      <c r="K107" s="28" t="inlineStr">
        <is>
          <t>单位：只</t>
        </is>
      </c>
      <c r="L107" s="43" t="inlineStr">
        <is>
          <t>海鲜</t>
        </is>
      </c>
      <c r="M107" s="49" t="n"/>
      <c r="N107" s="12" t="inlineStr">
        <is>
          <t>月付</t>
        </is>
      </c>
      <c r="O107" s="39" t="n"/>
      <c r="P107" s="39" t="n"/>
      <c r="Q107" s="39" t="n"/>
      <c r="R107" s="39" t="n"/>
      <c r="S107" s="39" t="n"/>
      <c r="T107" s="39" t="n"/>
      <c r="U107" s="39" t="n"/>
      <c r="V107" s="39" t="n"/>
      <c r="W107" s="39" t="n"/>
      <c r="X107" s="39" t="n"/>
    </row>
    <row r="108" ht="17.6" customHeight="1" s="170">
      <c r="A108" s="43" t="inlineStr">
        <is>
          <t>海鲜</t>
        </is>
      </c>
      <c r="B108" s="19" t="inlineStr">
        <is>
          <t>10头鲍</t>
        </is>
      </c>
      <c r="C108" s="46" t="inlineStr">
        <is>
          <t>4.绵阳海鲜</t>
        </is>
      </c>
      <c r="D108" s="23" t="n"/>
      <c r="E108" s="52" t="inlineStr">
        <is>
          <t>50g/个</t>
        </is>
      </c>
      <c r="F108" s="26" t="n">
        <v>1</v>
      </c>
      <c r="G108" s="187" t="n">
        <v>6.5</v>
      </c>
      <c r="H108" s="57" t="inlineStr">
        <is>
          <t>水养</t>
        </is>
      </c>
      <c r="I108" t="n">
        <v>1</v>
      </c>
      <c r="J108" t="n">
        <v>6.5</v>
      </c>
      <c r="K108" s="28" t="inlineStr">
        <is>
          <t>单位：只</t>
        </is>
      </c>
      <c r="L108" s="43" t="inlineStr">
        <is>
          <t>海鲜</t>
        </is>
      </c>
      <c r="M108" s="49" t="n"/>
      <c r="N108" s="12" t="inlineStr">
        <is>
          <t>月付</t>
        </is>
      </c>
      <c r="O108" s="39" t="n"/>
      <c r="P108" s="39" t="n"/>
      <c r="Q108" s="39" t="n"/>
      <c r="R108" s="39" t="n"/>
      <c r="S108" s="39" t="n"/>
      <c r="T108" s="39" t="n"/>
      <c r="U108" s="39" t="n"/>
      <c r="V108" s="39" t="n"/>
      <c r="W108" s="39" t="n"/>
      <c r="X108" s="39" t="n"/>
    </row>
    <row r="109" ht="17.6" customHeight="1" s="170">
      <c r="A109" s="43" t="inlineStr">
        <is>
          <t>海鲜</t>
        </is>
      </c>
      <c r="B109" s="19" t="inlineStr">
        <is>
          <t>小管</t>
        </is>
      </c>
      <c r="C109" s="46" t="inlineStr">
        <is>
          <t>4.绵阳海鲜</t>
        </is>
      </c>
      <c r="D109" s="7" t="n"/>
      <c r="E109" s="52" t="inlineStr">
        <is>
          <t>个</t>
        </is>
      </c>
      <c r="F109" s="26" t="n">
        <v>1</v>
      </c>
      <c r="G109" s="187" t="n">
        <v>8</v>
      </c>
      <c r="H109" s="57" t="inlineStr">
        <is>
          <t>冷冻</t>
        </is>
      </c>
      <c r="I109" t="n">
        <v>1</v>
      </c>
      <c r="J109" t="n">
        <v>8</v>
      </c>
      <c r="K109" s="28" t="inlineStr">
        <is>
          <t>单位：只</t>
        </is>
      </c>
      <c r="L109" s="43" t="inlineStr">
        <is>
          <t>海鲜</t>
        </is>
      </c>
      <c r="M109" s="49" t="n"/>
      <c r="N109" s="12" t="inlineStr">
        <is>
          <t>月付</t>
        </is>
      </c>
      <c r="O109" s="39" t="n"/>
      <c r="P109" s="39" t="n"/>
      <c r="Q109" s="39" t="n"/>
      <c r="R109" s="39" t="n"/>
      <c r="S109" s="39" t="n"/>
      <c r="T109" s="39" t="n"/>
      <c r="U109" s="39" t="n"/>
      <c r="V109" s="39" t="n"/>
      <c r="W109" s="39" t="n"/>
      <c r="X109" s="39" t="n"/>
    </row>
    <row r="110" ht="17.6" customHeight="1" s="170">
      <c r="A110" s="43" t="inlineStr">
        <is>
          <t>海鲜</t>
        </is>
      </c>
      <c r="B110" s="19" t="inlineStr">
        <is>
          <t>生蚝</t>
        </is>
      </c>
      <c r="C110" s="46" t="inlineStr">
        <is>
          <t>4.绵阳海鲜</t>
        </is>
      </c>
      <c r="D110" s="7" t="n"/>
      <c r="E110" s="52" t="inlineStr">
        <is>
          <t>个</t>
        </is>
      </c>
      <c r="F110" s="26" t="n">
        <v>1</v>
      </c>
      <c r="G110" s="187" t="n">
        <v>3.5</v>
      </c>
      <c r="H110" s="57" t="inlineStr">
        <is>
          <t>水养</t>
        </is>
      </c>
      <c r="I110" t="n">
        <v>1</v>
      </c>
      <c r="J110" t="n">
        <v>3.5</v>
      </c>
      <c r="K110" s="28" t="inlineStr">
        <is>
          <t>单位：只</t>
        </is>
      </c>
      <c r="L110" s="43" t="inlineStr">
        <is>
          <t>海鲜</t>
        </is>
      </c>
      <c r="M110" s="49" t="n"/>
      <c r="N110" s="12" t="inlineStr">
        <is>
          <t>月付</t>
        </is>
      </c>
      <c r="O110" s="39" t="n"/>
      <c r="P110" s="39" t="n"/>
      <c r="Q110" s="39" t="n"/>
      <c r="R110" s="39" t="n"/>
      <c r="S110" s="39" t="n"/>
      <c r="T110" s="39" t="n"/>
      <c r="U110" s="39" t="n"/>
      <c r="V110" s="39" t="n"/>
      <c r="W110" s="39" t="n"/>
      <c r="X110" s="39" t="n"/>
    </row>
    <row r="111" ht="17.6" customHeight="1" s="170">
      <c r="A111" s="43" t="inlineStr">
        <is>
          <t>蔬菜</t>
        </is>
      </c>
      <c r="B111" s="19" t="inlineStr">
        <is>
          <t>海带丝</t>
        </is>
      </c>
      <c r="C111" s="12" t="inlineStr">
        <is>
          <t>3.绵阳干杂</t>
        </is>
      </c>
      <c r="D111" s="7" t="n"/>
      <c r="E111" s="12" t="inlineStr">
        <is>
          <t>称重</t>
        </is>
      </c>
      <c r="F111" s="26" t="n">
        <v>500</v>
      </c>
      <c r="G111" s="189" t="n">
        <v>8</v>
      </c>
      <c r="H111" s="57" t="inlineStr">
        <is>
          <t>冷藏</t>
        </is>
      </c>
      <c r="I111" t="n">
        <v>1</v>
      </c>
      <c r="J111" t="n">
        <v>0.016</v>
      </c>
      <c r="K111" s="28" t="n"/>
      <c r="L111" s="43" t="inlineStr">
        <is>
          <t>蔬菜</t>
        </is>
      </c>
      <c r="M111" s="49" t="n"/>
      <c r="N111" s="12" t="inlineStr">
        <is>
          <t>月付</t>
        </is>
      </c>
      <c r="O111" s="39" t="n"/>
      <c r="P111" s="39" t="n"/>
      <c r="Q111" s="39" t="n"/>
      <c r="R111" s="39" t="n"/>
      <c r="S111" s="39" t="n"/>
      <c r="T111" s="39" t="n"/>
      <c r="U111" s="39" t="n"/>
      <c r="V111" s="39" t="n"/>
      <c r="W111" s="39" t="n"/>
      <c r="X111" s="39" t="n"/>
    </row>
    <row r="112" ht="17.6" customHeight="1" s="170">
      <c r="A112" s="43" t="inlineStr">
        <is>
          <t>蔬菜</t>
        </is>
      </c>
      <c r="B112" s="19" t="inlineStr">
        <is>
          <t>泡萝卜</t>
        </is>
      </c>
      <c r="C112" s="12" t="inlineStr">
        <is>
          <t>3.绵阳干杂</t>
        </is>
      </c>
      <c r="D112" s="7" t="n"/>
      <c r="E112" s="12" t="inlineStr">
        <is>
          <t>称重</t>
        </is>
      </c>
      <c r="F112" s="26" t="n">
        <v>500</v>
      </c>
      <c r="G112" s="189" t="n">
        <v>4</v>
      </c>
      <c r="H112" s="57" t="inlineStr">
        <is>
          <t>冷藏</t>
        </is>
      </c>
      <c r="I112" t="n">
        <v>0.95</v>
      </c>
      <c r="J112" t="n">
        <v>0.008</v>
      </c>
      <c r="K112" s="28" t="n"/>
      <c r="L112" s="43" t="inlineStr">
        <is>
          <t>蔬菜</t>
        </is>
      </c>
      <c r="M112" s="49" t="n"/>
      <c r="N112" s="12" t="inlineStr">
        <is>
          <t>月付</t>
        </is>
      </c>
      <c r="O112" s="39" t="n"/>
      <c r="P112" s="39" t="n"/>
      <c r="Q112" s="39" t="n"/>
      <c r="R112" s="39" t="n"/>
      <c r="S112" s="39" t="n"/>
      <c r="T112" s="39" t="n"/>
      <c r="U112" s="39" t="n"/>
      <c r="V112" s="39" t="n"/>
      <c r="W112" s="39" t="n"/>
      <c r="X112" s="39" t="n"/>
    </row>
    <row r="113" ht="17.6" customHeight="1" s="170">
      <c r="A113" s="43" t="inlineStr">
        <is>
          <t>干杂</t>
        </is>
      </c>
      <c r="B113" s="19" t="inlineStr">
        <is>
          <t>色拉油</t>
        </is>
      </c>
      <c r="C113" s="12" t="inlineStr">
        <is>
          <t>3.绵阳干杂</t>
        </is>
      </c>
      <c r="D113" s="7" t="n"/>
      <c r="E113" s="7" t="n"/>
      <c r="F113" s="26" t="n">
        <v>500</v>
      </c>
      <c r="G113" s="187" t="n">
        <v>5.1</v>
      </c>
      <c r="H113" s="57" t="inlineStr">
        <is>
          <t>常温</t>
        </is>
      </c>
      <c r="I113" t="n">
        <v>1</v>
      </c>
      <c r="J113" t="n">
        <v>0.0102</v>
      </c>
      <c r="K113" s="28" t="n"/>
      <c r="L113" s="43" t="inlineStr">
        <is>
          <t>干杂</t>
        </is>
      </c>
      <c r="M113" s="49" t="n"/>
      <c r="N113" s="12" t="inlineStr">
        <is>
          <t>月付</t>
        </is>
      </c>
      <c r="O113" s="39" t="n"/>
      <c r="P113" s="39" t="n"/>
      <c r="Q113" s="39" t="n"/>
      <c r="R113" s="39" t="n"/>
      <c r="S113" s="39" t="n"/>
      <c r="T113" s="39" t="n"/>
      <c r="U113" s="39" t="n"/>
      <c r="V113" s="39" t="n"/>
      <c r="W113" s="39" t="n"/>
      <c r="X113" s="39" t="n"/>
    </row>
    <row r="114" ht="17.6" customHeight="1" s="170">
      <c r="A114" s="43" t="inlineStr">
        <is>
          <t>干杂</t>
        </is>
      </c>
      <c r="B114" s="19" t="inlineStr">
        <is>
          <t>菜籽油</t>
        </is>
      </c>
      <c r="C114" s="12" t="inlineStr">
        <is>
          <t>3.绵阳干杂</t>
        </is>
      </c>
      <c r="D114" s="7" t="n"/>
      <c r="E114" s="52" t="inlineStr">
        <is>
          <t>5000g/桶</t>
        </is>
      </c>
      <c r="F114" s="26" t="n">
        <v>500</v>
      </c>
      <c r="G114" s="187" t="n">
        <v>7.2</v>
      </c>
      <c r="H114" s="57" t="inlineStr">
        <is>
          <t>常温</t>
        </is>
      </c>
      <c r="I114" t="n">
        <v>1</v>
      </c>
      <c r="J114" t="n">
        <v>0.013</v>
      </c>
      <c r="K114" s="28" t="n"/>
      <c r="L114" s="43" t="inlineStr">
        <is>
          <t>干杂</t>
        </is>
      </c>
      <c r="M114" s="49" t="n"/>
      <c r="N114" s="12" t="inlineStr">
        <is>
          <t>月付</t>
        </is>
      </c>
      <c r="O114" s="39" t="n"/>
      <c r="P114" s="39" t="n"/>
      <c r="Q114" s="39" t="n"/>
      <c r="R114" s="39" t="n"/>
      <c r="S114" s="39" t="n"/>
      <c r="T114" s="39" t="n"/>
      <c r="U114" s="39" t="n"/>
      <c r="V114" s="39" t="n"/>
      <c r="W114" s="39" t="n"/>
      <c r="X114" s="39" t="n"/>
    </row>
    <row r="115" ht="17.6" customHeight="1" s="170">
      <c r="A115" s="43" t="inlineStr">
        <is>
          <t>干杂</t>
        </is>
      </c>
      <c r="B115" s="19" t="inlineStr">
        <is>
          <t>鸡精</t>
        </is>
      </c>
      <c r="C115" s="12" t="inlineStr">
        <is>
          <t>3.绵阳干杂</t>
        </is>
      </c>
      <c r="D115" s="52" t="inlineStr">
        <is>
          <t>豪吉</t>
        </is>
      </c>
      <c r="E115" s="52" t="inlineStr">
        <is>
          <t>2500g/袋</t>
        </is>
      </c>
      <c r="F115" s="26" t="n">
        <v>500</v>
      </c>
      <c r="G115" s="187">
        <f>67.5/5</f>
        <v/>
      </c>
      <c r="H115" s="57" t="inlineStr">
        <is>
          <t>常温</t>
        </is>
      </c>
      <c r="I115" t="n">
        <v>1</v>
      </c>
      <c r="K115" s="28" t="n"/>
      <c r="L115" s="43" t="inlineStr">
        <is>
          <t>干杂</t>
        </is>
      </c>
      <c r="M115" s="57" t="n"/>
      <c r="N115" s="12" t="inlineStr">
        <is>
          <t>月付</t>
        </is>
      </c>
      <c r="O115" s="39" t="n"/>
      <c r="P115" s="39" t="n"/>
      <c r="Q115" s="39" t="n"/>
      <c r="R115" s="39" t="n"/>
      <c r="S115" s="39" t="n"/>
      <c r="T115" s="39" t="n"/>
      <c r="U115" s="39" t="n"/>
      <c r="V115" s="39" t="n"/>
      <c r="W115" s="39" t="n"/>
      <c r="X115" s="39" t="n"/>
    </row>
    <row r="116" ht="17.6" customHeight="1" s="170">
      <c r="A116" s="43" t="inlineStr">
        <is>
          <t>干杂</t>
        </is>
      </c>
      <c r="B116" s="19" t="inlineStr">
        <is>
          <t>味精</t>
        </is>
      </c>
      <c r="C116" s="12" t="inlineStr">
        <is>
          <t>3.绵阳干杂</t>
        </is>
      </c>
      <c r="D116" s="52" t="inlineStr">
        <is>
          <t>国泰</t>
        </is>
      </c>
      <c r="E116" s="52" t="inlineStr">
        <is>
          <t>454g/袋</t>
        </is>
      </c>
      <c r="F116" s="26" t="n">
        <v>454</v>
      </c>
      <c r="G116" s="187" t="n">
        <v>7.95</v>
      </c>
      <c r="H116" s="57" t="inlineStr">
        <is>
          <t>常温</t>
        </is>
      </c>
      <c r="I116" t="n">
        <v>1</v>
      </c>
      <c r="J116" t="n">
        <v>0.017511</v>
      </c>
      <c r="K116" s="28" t="n"/>
      <c r="L116" s="43" t="inlineStr">
        <is>
          <t>干杂</t>
        </is>
      </c>
      <c r="M116" s="57" t="n"/>
      <c r="N116" s="12" t="inlineStr">
        <is>
          <t>月付</t>
        </is>
      </c>
      <c r="O116" s="39" t="n"/>
      <c r="P116" s="39" t="n"/>
      <c r="Q116" s="39" t="n"/>
      <c r="R116" s="39" t="n"/>
      <c r="S116" s="39" t="n"/>
      <c r="T116" s="39" t="n"/>
      <c r="U116" s="39" t="n"/>
      <c r="V116" s="39" t="n"/>
      <c r="W116" s="39" t="n"/>
      <c r="X116" s="39" t="n"/>
    </row>
    <row r="117" ht="17.6" customHeight="1" s="170">
      <c r="A117" s="43" t="inlineStr">
        <is>
          <t>干杂</t>
        </is>
      </c>
      <c r="B117" s="19" t="inlineStr">
        <is>
          <t>盐</t>
        </is>
      </c>
      <c r="C117" s="12" t="inlineStr">
        <is>
          <t>3.绵阳干杂</t>
        </is>
      </c>
      <c r="D117" s="22" t="inlineStr">
        <is>
          <t>久大</t>
        </is>
      </c>
      <c r="E117" s="52" t="inlineStr">
        <is>
          <t>350g/袋</t>
        </is>
      </c>
      <c r="F117" s="26" t="n">
        <v>350</v>
      </c>
      <c r="G117" s="187" t="n">
        <v>1.07</v>
      </c>
      <c r="H117" s="57" t="inlineStr">
        <is>
          <t>常温</t>
        </is>
      </c>
      <c r="I117" t="n">
        <v>1</v>
      </c>
      <c r="J117" t="n">
        <v>0.003057</v>
      </c>
      <c r="K117" s="28" t="n"/>
      <c r="L117" s="43" t="inlineStr">
        <is>
          <t>干杂</t>
        </is>
      </c>
      <c r="M117" s="49" t="n"/>
      <c r="N117" s="12" t="inlineStr">
        <is>
          <t>月付</t>
        </is>
      </c>
      <c r="O117" s="39" t="n"/>
      <c r="P117" s="39" t="n"/>
      <c r="Q117" s="39" t="n"/>
      <c r="R117" s="39" t="n"/>
      <c r="S117" s="39" t="n"/>
      <c r="T117" s="39" t="n"/>
      <c r="U117" s="39" t="n"/>
      <c r="V117" s="39" t="n"/>
      <c r="W117" s="39" t="n"/>
      <c r="X117" s="39" t="n"/>
    </row>
    <row r="118" ht="17.6" customHeight="1" s="170">
      <c r="A118" s="43" t="inlineStr">
        <is>
          <t>干杂</t>
        </is>
      </c>
      <c r="B118" s="19" t="inlineStr">
        <is>
          <t>胡椒粉</t>
        </is>
      </c>
      <c r="C118" s="12" t="inlineStr">
        <is>
          <t>3.绵阳干杂</t>
        </is>
      </c>
      <c r="D118" s="7" t="n"/>
      <c r="E118" s="12" t="inlineStr">
        <is>
          <t>称重</t>
        </is>
      </c>
      <c r="F118" s="26" t="n">
        <v>500</v>
      </c>
      <c r="G118" s="187" t="n">
        <v>40</v>
      </c>
      <c r="H118" s="57" t="inlineStr">
        <is>
          <t>常温</t>
        </is>
      </c>
      <c r="I118" t="n">
        <v>1</v>
      </c>
      <c r="J118" t="n">
        <v>0.08</v>
      </c>
      <c r="K118" s="28" t="n"/>
      <c r="L118" s="43" t="inlineStr">
        <is>
          <t>干杂</t>
        </is>
      </c>
      <c r="M118" s="57" t="n"/>
      <c r="N118" s="12" t="inlineStr">
        <is>
          <t>月付</t>
        </is>
      </c>
      <c r="O118" s="39" t="n"/>
      <c r="P118" s="39" t="n"/>
      <c r="Q118" s="39" t="n"/>
      <c r="R118" s="39" t="n"/>
      <c r="S118" s="39" t="n"/>
      <c r="T118" s="39" t="n"/>
      <c r="U118" s="39" t="n"/>
      <c r="V118" s="39" t="n"/>
      <c r="W118" s="39" t="n"/>
      <c r="X118" s="39" t="n"/>
    </row>
    <row r="119" ht="17.6" customHeight="1" s="170">
      <c r="A119" s="43" t="inlineStr">
        <is>
          <t>干杂</t>
        </is>
      </c>
      <c r="B119" s="19" t="inlineStr">
        <is>
          <t>花椒粉</t>
        </is>
      </c>
      <c r="C119" s="12" t="inlineStr">
        <is>
          <t>3.绵阳干杂</t>
        </is>
      </c>
      <c r="D119" s="7" t="n"/>
      <c r="E119" s="12" t="inlineStr">
        <is>
          <t>称重</t>
        </is>
      </c>
      <c r="F119" s="26" t="n">
        <v>500</v>
      </c>
      <c r="G119" s="187" t="n">
        <v>60</v>
      </c>
      <c r="H119" s="57" t="inlineStr">
        <is>
          <t>常温</t>
        </is>
      </c>
      <c r="I119" t="n">
        <v>1</v>
      </c>
      <c r="J119" t="n">
        <v>0.11</v>
      </c>
      <c r="K119" s="28" t="n"/>
      <c r="L119" s="43" t="inlineStr">
        <is>
          <t>干杂</t>
        </is>
      </c>
      <c r="M119" s="57" t="n"/>
      <c r="N119" s="12" t="inlineStr">
        <is>
          <t>月付</t>
        </is>
      </c>
      <c r="O119" s="39" t="n"/>
      <c r="P119" s="39" t="n"/>
      <c r="Q119" s="39" t="n"/>
      <c r="R119" s="39" t="n"/>
      <c r="S119" s="39" t="n"/>
      <c r="T119" s="39" t="n"/>
      <c r="U119" s="39" t="n"/>
      <c r="V119" s="39" t="n"/>
      <c r="W119" s="39" t="n"/>
      <c r="X119" s="39" t="n"/>
    </row>
    <row r="120" ht="17.6" customHeight="1" s="170">
      <c r="A120" s="43" t="inlineStr">
        <is>
          <t>干杂</t>
        </is>
      </c>
      <c r="B120" s="19" t="inlineStr">
        <is>
          <t>五香粉</t>
        </is>
      </c>
      <c r="C120" s="12" t="inlineStr">
        <is>
          <t>3.绵阳干杂</t>
        </is>
      </c>
      <c r="D120" s="7" t="n"/>
      <c r="E120" s="12" t="inlineStr">
        <is>
          <t>称重</t>
        </is>
      </c>
      <c r="F120" s="26" t="n">
        <v>500</v>
      </c>
      <c r="G120" s="187" t="n">
        <v>12</v>
      </c>
      <c r="H120" s="57" t="inlineStr">
        <is>
          <t>常温</t>
        </is>
      </c>
      <c r="I120" t="n">
        <v>1</v>
      </c>
      <c r="J120" t="n">
        <v>0.024</v>
      </c>
      <c r="K120" s="28" t="n"/>
      <c r="L120" s="43" t="inlineStr">
        <is>
          <t>干杂</t>
        </is>
      </c>
      <c r="M120" s="49" t="n"/>
      <c r="N120" s="12" t="inlineStr">
        <is>
          <t>月付</t>
        </is>
      </c>
      <c r="O120" s="39" t="n"/>
      <c r="P120" s="39" t="n"/>
      <c r="Q120" s="39" t="n"/>
      <c r="R120" s="39" t="n"/>
      <c r="S120" s="39" t="n"/>
      <c r="T120" s="39" t="n"/>
      <c r="U120" s="39" t="n"/>
      <c r="V120" s="39" t="n"/>
      <c r="W120" s="39" t="n"/>
      <c r="X120" s="39" t="n"/>
    </row>
    <row r="121" ht="17.6" customHeight="1" s="170">
      <c r="A121" s="43" t="inlineStr">
        <is>
          <t>干杂</t>
        </is>
      </c>
      <c r="B121" s="19" t="inlineStr">
        <is>
          <t>小麦自发粉</t>
        </is>
      </c>
      <c r="C121" s="12" t="inlineStr">
        <is>
          <t>3.绵阳干杂</t>
        </is>
      </c>
      <c r="D121" s="23" t="n"/>
      <c r="E121" s="52" t="inlineStr">
        <is>
          <t>2500/袋</t>
        </is>
      </c>
      <c r="F121" s="26" t="n">
        <v>500</v>
      </c>
      <c r="G121" s="187" t="n">
        <v>5</v>
      </c>
      <c r="H121" s="57" t="inlineStr">
        <is>
          <t>常温</t>
        </is>
      </c>
      <c r="I121" t="n">
        <v>1</v>
      </c>
      <c r="J121" t="n">
        <v>0.006</v>
      </c>
      <c r="K121" s="28" t="n"/>
      <c r="L121" s="43" t="inlineStr">
        <is>
          <t>干杂</t>
        </is>
      </c>
      <c r="M121" s="49" t="n"/>
      <c r="N121" s="12" t="inlineStr">
        <is>
          <t>月付</t>
        </is>
      </c>
      <c r="O121" s="39" t="n"/>
      <c r="P121" s="39" t="n"/>
      <c r="Q121" s="39" t="n"/>
      <c r="R121" s="39" t="n"/>
      <c r="S121" s="39" t="n"/>
      <c r="T121" s="39" t="n"/>
      <c r="U121" s="39" t="n"/>
      <c r="V121" s="39" t="n"/>
      <c r="W121" s="39" t="n"/>
      <c r="X121" s="39" t="n"/>
    </row>
    <row r="122" ht="17.6" customHeight="1" s="170">
      <c r="A122" s="43" t="inlineStr">
        <is>
          <t>干杂</t>
        </is>
      </c>
      <c r="B122" s="19" t="inlineStr">
        <is>
          <t>生粉</t>
        </is>
      </c>
      <c r="C122" s="12" t="inlineStr">
        <is>
          <t>3.绵阳干杂</t>
        </is>
      </c>
      <c r="D122" s="7" t="n"/>
      <c r="E122" s="12" t="inlineStr">
        <is>
          <t>称重</t>
        </is>
      </c>
      <c r="F122" s="32" t="n">
        <v>500</v>
      </c>
      <c r="G122" s="189" t="n">
        <v>5.5</v>
      </c>
      <c r="H122" s="57" t="inlineStr">
        <is>
          <t>常温</t>
        </is>
      </c>
      <c r="I122" t="n">
        <v>1</v>
      </c>
      <c r="J122" t="n">
        <v>0.011</v>
      </c>
      <c r="K122" s="28" t="n"/>
      <c r="L122" s="43" t="inlineStr">
        <is>
          <t>干杂</t>
        </is>
      </c>
      <c r="M122" s="57" t="n"/>
      <c r="N122" s="12" t="inlineStr">
        <is>
          <t>月付</t>
        </is>
      </c>
      <c r="O122" s="39" t="n"/>
      <c r="P122" s="39" t="n"/>
      <c r="Q122" s="39" t="n"/>
      <c r="R122" s="39" t="n"/>
      <c r="S122" s="39" t="n"/>
      <c r="T122" s="39" t="n"/>
      <c r="U122" s="39" t="n"/>
      <c r="V122" s="39" t="n"/>
      <c r="W122" s="39" t="n"/>
      <c r="X122" s="39" t="n"/>
    </row>
    <row r="123" ht="17.6" customHeight="1" s="170">
      <c r="A123" s="43" t="inlineStr">
        <is>
          <t>干杂</t>
        </is>
      </c>
      <c r="B123" s="19" t="inlineStr">
        <is>
          <t>红薯淀粉</t>
        </is>
      </c>
      <c r="C123" s="12" t="inlineStr">
        <is>
          <t>3.绵阳干杂</t>
        </is>
      </c>
      <c r="D123" s="7" t="n"/>
      <c r="E123" s="12" t="inlineStr">
        <is>
          <t>称重</t>
        </is>
      </c>
      <c r="F123" s="26" t="n">
        <v>500</v>
      </c>
      <c r="G123" s="187" t="n">
        <v>6</v>
      </c>
      <c r="H123" s="57" t="inlineStr">
        <is>
          <t>常温</t>
        </is>
      </c>
      <c r="I123" t="n">
        <v>1</v>
      </c>
      <c r="J123" t="n">
        <v>0.012</v>
      </c>
      <c r="K123" s="28" t="n"/>
      <c r="L123" s="43" t="inlineStr">
        <is>
          <t>干杂</t>
        </is>
      </c>
      <c r="M123" s="49" t="n"/>
      <c r="N123" s="12" t="inlineStr">
        <is>
          <t>月付</t>
        </is>
      </c>
      <c r="O123" s="39" t="n"/>
      <c r="P123" s="39" t="n"/>
      <c r="Q123" s="39" t="n"/>
      <c r="R123" s="39" t="n"/>
      <c r="S123" s="39" t="n"/>
      <c r="T123" s="39" t="n"/>
      <c r="U123" s="39" t="n"/>
      <c r="V123" s="39" t="n"/>
      <c r="W123" s="39" t="n"/>
      <c r="X123" s="39" t="n"/>
    </row>
    <row r="124" ht="17.6" customHeight="1" s="170">
      <c r="A124" s="43" t="inlineStr">
        <is>
          <t>干杂</t>
        </is>
      </c>
      <c r="B124" s="19" t="inlineStr">
        <is>
          <t>草果粉</t>
        </is>
      </c>
      <c r="C124" s="12" t="inlineStr">
        <is>
          <t>3.绵阳干杂</t>
        </is>
      </c>
      <c r="D124" s="7" t="n"/>
      <c r="E124" s="12" t="inlineStr">
        <is>
          <t>称重</t>
        </is>
      </c>
      <c r="F124" s="32" t="n">
        <v>500</v>
      </c>
      <c r="G124" s="187" t="n">
        <v>42</v>
      </c>
      <c r="H124" s="57" t="inlineStr">
        <is>
          <t>常温</t>
        </is>
      </c>
      <c r="I124" t="n">
        <v>1</v>
      </c>
      <c r="J124" t="n">
        <v>0.08400000000000001</v>
      </c>
      <c r="K124" s="28" t="n"/>
      <c r="L124" s="43" t="inlineStr">
        <is>
          <t>干杂</t>
        </is>
      </c>
      <c r="M124" s="49" t="n"/>
      <c r="N124" s="12" t="inlineStr">
        <is>
          <t>月付</t>
        </is>
      </c>
      <c r="O124" s="39" t="n"/>
      <c r="P124" s="39" t="n"/>
      <c r="Q124" s="39" t="n"/>
      <c r="R124" s="39" t="n"/>
      <c r="S124" s="39" t="n"/>
      <c r="T124" s="39" t="n"/>
      <c r="U124" s="39" t="n"/>
      <c r="V124" s="39" t="n"/>
      <c r="W124" s="39" t="n"/>
      <c r="X124" s="39" t="n"/>
    </row>
    <row r="125" ht="20" customHeight="1" s="170">
      <c r="A125" s="43" t="inlineStr">
        <is>
          <t>干杂</t>
        </is>
      </c>
      <c r="B125" s="19" t="inlineStr">
        <is>
          <t>白糖</t>
        </is>
      </c>
      <c r="C125" s="12" t="inlineStr">
        <is>
          <t>3.绵阳干杂</t>
        </is>
      </c>
      <c r="D125" s="7" t="n"/>
      <c r="E125" s="12" t="inlineStr">
        <is>
          <t>称重</t>
        </is>
      </c>
      <c r="F125" s="26" t="n">
        <v>500</v>
      </c>
      <c r="G125" s="187" t="n">
        <v>4</v>
      </c>
      <c r="H125" s="57" t="inlineStr">
        <is>
          <t>常温</t>
        </is>
      </c>
      <c r="I125" t="n">
        <v>1</v>
      </c>
      <c r="J125" t="n">
        <v>0.008</v>
      </c>
      <c r="K125" s="28" t="n"/>
      <c r="L125" s="43" t="inlineStr">
        <is>
          <t>干杂</t>
        </is>
      </c>
      <c r="M125" s="57" t="n"/>
      <c r="N125" s="12" t="inlineStr">
        <is>
          <t>月付</t>
        </is>
      </c>
      <c r="O125" s="39" t="n"/>
      <c r="P125" s="39" t="n"/>
      <c r="Q125" s="39" t="n"/>
      <c r="R125" s="39" t="n"/>
      <c r="S125" s="39" t="n"/>
      <c r="T125" s="39" t="n"/>
      <c r="U125" s="39" t="n"/>
      <c r="V125" s="39" t="n"/>
      <c r="W125" s="39" t="n"/>
      <c r="X125" s="39" t="n"/>
    </row>
    <row r="126" ht="20" customHeight="1" s="170">
      <c r="A126" s="43" t="inlineStr">
        <is>
          <t>干杂</t>
        </is>
      </c>
      <c r="B126" s="19" t="inlineStr">
        <is>
          <t>郫县豆瓣</t>
        </is>
      </c>
      <c r="C126" s="12" t="inlineStr">
        <is>
          <t>3.绵阳干杂</t>
        </is>
      </c>
      <c r="D126" s="52" t="inlineStr">
        <is>
          <t>君乐园</t>
        </is>
      </c>
      <c r="E126" s="52" t="inlineStr">
        <is>
          <t>7斤/瓶</t>
        </is>
      </c>
      <c r="F126" s="32" t="n">
        <v>500</v>
      </c>
      <c r="G126" s="187" t="n">
        <v>4</v>
      </c>
      <c r="H126" s="57" t="inlineStr">
        <is>
          <t>常温</t>
        </is>
      </c>
      <c r="I126" t="n">
        <v>1</v>
      </c>
      <c r="J126" t="n">
        <v>0.008</v>
      </c>
      <c r="K126" s="28" t="n"/>
      <c r="L126" s="43" t="inlineStr">
        <is>
          <t>干杂</t>
        </is>
      </c>
      <c r="M126" s="57" t="n"/>
      <c r="N126" s="12" t="inlineStr">
        <is>
          <t>月付</t>
        </is>
      </c>
      <c r="O126" s="39" t="n"/>
      <c r="P126" s="39" t="n"/>
      <c r="Q126" s="39" t="n"/>
      <c r="R126" s="39" t="n"/>
      <c r="S126" s="39" t="n"/>
      <c r="T126" s="39" t="n"/>
      <c r="U126" s="39" t="n"/>
      <c r="V126" s="39" t="n"/>
      <c r="W126" s="39" t="n"/>
      <c r="X126" s="39" t="n"/>
    </row>
    <row r="127" ht="20" customHeight="1" s="170">
      <c r="A127" s="43" t="inlineStr">
        <is>
          <t>干杂</t>
        </is>
      </c>
      <c r="B127" s="19" t="inlineStr">
        <is>
          <t>藤椒油</t>
        </is>
      </c>
      <c r="C127" s="12" t="inlineStr">
        <is>
          <t>3.绵阳干杂</t>
        </is>
      </c>
      <c r="D127" s="52" t="inlineStr">
        <is>
          <t>幺麻子</t>
        </is>
      </c>
      <c r="E127" s="52" t="inlineStr">
        <is>
          <t>500ml/瓶</t>
        </is>
      </c>
      <c r="F127" s="32" t="n">
        <v>500</v>
      </c>
      <c r="G127" s="187" t="n">
        <v>23</v>
      </c>
      <c r="H127" s="57" t="inlineStr">
        <is>
          <t>常温</t>
        </is>
      </c>
      <c r="I127" t="n">
        <v>1</v>
      </c>
      <c r="J127" t="n">
        <v>0.046</v>
      </c>
      <c r="K127" s="28" t="n"/>
      <c r="L127" s="43" t="inlineStr">
        <is>
          <t>干杂</t>
        </is>
      </c>
      <c r="M127" s="57" t="n"/>
      <c r="N127" s="12" t="inlineStr">
        <is>
          <t>月付</t>
        </is>
      </c>
      <c r="O127" s="39" t="n"/>
      <c r="P127" s="39" t="n"/>
      <c r="Q127" s="39" t="n"/>
      <c r="R127" s="39" t="n"/>
      <c r="S127" s="39" t="n"/>
      <c r="T127" s="39" t="n"/>
      <c r="U127" s="39" t="n"/>
      <c r="V127" s="39" t="n"/>
      <c r="W127" s="39" t="n"/>
      <c r="X127" s="39" t="n"/>
    </row>
    <row r="128" ht="20" customHeight="1" s="170">
      <c r="A128" s="43" t="inlineStr">
        <is>
          <t>干杂</t>
        </is>
      </c>
      <c r="B128" s="19" t="inlineStr">
        <is>
          <t>花椒油</t>
        </is>
      </c>
      <c r="C128" s="12" t="inlineStr">
        <is>
          <t>3.绵阳干杂</t>
        </is>
      </c>
      <c r="D128" s="7" t="n"/>
      <c r="E128" s="52" t="inlineStr">
        <is>
          <t>330ml/瓶</t>
        </is>
      </c>
      <c r="F128" s="26" t="n">
        <v>500</v>
      </c>
      <c r="G128" s="187">
        <f>16/330*500</f>
        <v/>
      </c>
      <c r="H128" s="57" t="inlineStr">
        <is>
          <t>常温</t>
        </is>
      </c>
      <c r="I128" t="n">
        <v>1</v>
      </c>
      <c r="K128" s="28" t="n"/>
      <c r="L128" s="43" t="inlineStr">
        <is>
          <t>干杂</t>
        </is>
      </c>
      <c r="M128" s="49" t="n"/>
      <c r="N128" s="12" t="inlineStr">
        <is>
          <t>月付</t>
        </is>
      </c>
      <c r="O128" s="39" t="n"/>
      <c r="P128" s="39" t="n"/>
      <c r="Q128" s="39" t="n"/>
      <c r="R128" s="39" t="n"/>
      <c r="S128" s="39" t="n"/>
      <c r="T128" s="39" t="n"/>
      <c r="U128" s="39" t="n"/>
      <c r="V128" s="39" t="n"/>
      <c r="W128" s="39" t="n"/>
      <c r="X128" s="39" t="n"/>
    </row>
    <row r="129" ht="17.6" customHeight="1" s="170">
      <c r="A129" s="43" t="inlineStr">
        <is>
          <t>干杂</t>
        </is>
      </c>
      <c r="B129" s="19" t="inlineStr">
        <is>
          <t>生抽</t>
        </is>
      </c>
      <c r="C129" s="12" t="inlineStr">
        <is>
          <t>3.绵阳干杂</t>
        </is>
      </c>
      <c r="D129" s="52" t="inlineStr">
        <is>
          <t>海天</t>
        </is>
      </c>
      <c r="E129" s="52" t="inlineStr">
        <is>
          <t>1.75L/瓶 6瓶/件</t>
        </is>
      </c>
      <c r="F129" s="26" t="n">
        <v>500</v>
      </c>
      <c r="G129" s="187">
        <f>13/1750*500</f>
        <v/>
      </c>
      <c r="H129" s="57" t="inlineStr">
        <is>
          <t>常温</t>
        </is>
      </c>
      <c r="I129" t="n">
        <v>1</v>
      </c>
      <c r="K129" s="28" t="n"/>
      <c r="L129" s="43" t="inlineStr">
        <is>
          <t>干杂</t>
        </is>
      </c>
      <c r="M129" s="49" t="n"/>
      <c r="N129" s="12" t="inlineStr">
        <is>
          <t>月付</t>
        </is>
      </c>
      <c r="O129" s="39" t="n"/>
      <c r="P129" s="39" t="n"/>
      <c r="Q129" s="39" t="n"/>
      <c r="R129" s="39" t="n"/>
      <c r="S129" s="39" t="n"/>
      <c r="T129" s="39" t="n"/>
      <c r="U129" s="39" t="n"/>
      <c r="V129" s="39" t="n"/>
      <c r="W129" s="39" t="n"/>
      <c r="X129" s="39" t="n"/>
    </row>
    <row r="130" ht="17.6" customHeight="1" s="170">
      <c r="A130" s="43" t="inlineStr">
        <is>
          <t>干杂</t>
        </is>
      </c>
      <c r="B130" s="52" t="inlineStr">
        <is>
          <t>陈醋</t>
        </is>
      </c>
      <c r="C130" s="12" t="inlineStr">
        <is>
          <t>3.绵阳干杂</t>
        </is>
      </c>
      <c r="D130" s="52" t="inlineStr">
        <is>
          <t>横顺</t>
        </is>
      </c>
      <c r="E130" s="54" t="inlineStr">
        <is>
          <t>420ml/瓶 24瓶/件</t>
        </is>
      </c>
      <c r="F130" s="26" t="n">
        <v>420</v>
      </c>
      <c r="G130" s="187" t="n">
        <v>3</v>
      </c>
      <c r="H130" s="57" t="inlineStr">
        <is>
          <t>常温</t>
        </is>
      </c>
      <c r="I130" t="n">
        <v>1</v>
      </c>
      <c r="J130" t="n">
        <v>0.007143</v>
      </c>
      <c r="K130" s="28" t="n"/>
      <c r="L130" s="43" t="inlineStr">
        <is>
          <t>干杂</t>
        </is>
      </c>
      <c r="M130" s="57" t="n"/>
      <c r="N130" s="12" t="inlineStr">
        <is>
          <t>月付</t>
        </is>
      </c>
      <c r="O130" s="39" t="n"/>
      <c r="P130" s="39" t="n"/>
      <c r="Q130" s="39" t="n"/>
      <c r="R130" s="39" t="n"/>
      <c r="S130" s="39" t="n"/>
      <c r="T130" s="39" t="n"/>
      <c r="U130" s="39" t="n"/>
      <c r="V130" s="39" t="n"/>
      <c r="W130" s="39" t="n"/>
      <c r="X130" s="39" t="n"/>
    </row>
    <row r="131" ht="17.6" customHeight="1" s="170">
      <c r="A131" s="43" t="inlineStr">
        <is>
          <t>干杂</t>
        </is>
      </c>
      <c r="B131" s="52" t="inlineStr">
        <is>
          <t>苹果醋</t>
        </is>
      </c>
      <c r="C131" s="12" t="inlineStr">
        <is>
          <t>3.绵阳干杂</t>
        </is>
      </c>
      <c r="D131" s="52" t="inlineStr">
        <is>
          <t>海天</t>
        </is>
      </c>
      <c r="E131" s="52" t="inlineStr">
        <is>
          <t>450ml/瓶 12瓶/件</t>
        </is>
      </c>
      <c r="F131" s="26" t="n">
        <v>450</v>
      </c>
      <c r="G131" s="187">
        <f>108/12</f>
        <v/>
      </c>
      <c r="H131" s="57" t="inlineStr">
        <is>
          <t>常温</t>
        </is>
      </c>
      <c r="I131" t="n">
        <v>1</v>
      </c>
      <c r="K131" s="28" t="n"/>
      <c r="L131" s="43" t="inlineStr">
        <is>
          <t>干杂</t>
        </is>
      </c>
      <c r="M131" s="57" t="n"/>
      <c r="N131" s="12" t="inlineStr">
        <is>
          <t>月付</t>
        </is>
      </c>
      <c r="O131" s="39" t="n"/>
      <c r="P131" s="39" t="n"/>
      <c r="Q131" s="39" t="n"/>
      <c r="R131" s="39" t="n"/>
      <c r="S131" s="39" t="n"/>
      <c r="T131" s="39" t="n"/>
      <c r="U131" s="39" t="n"/>
      <c r="V131" s="39" t="n"/>
      <c r="W131" s="39" t="n"/>
      <c r="X131" s="39" t="n"/>
    </row>
    <row r="132" ht="17.6" customHeight="1" s="170">
      <c r="A132" s="43" t="inlineStr">
        <is>
          <t>干杂</t>
        </is>
      </c>
      <c r="B132" s="52" t="inlineStr">
        <is>
          <t>大米</t>
        </is>
      </c>
      <c r="C132" s="12" t="inlineStr">
        <is>
          <t>3.绵阳干杂</t>
        </is>
      </c>
      <c r="D132" s="7" t="n"/>
      <c r="E132" s="12" t="inlineStr">
        <is>
          <t>50斤/袋</t>
        </is>
      </c>
      <c r="F132" s="26" t="n">
        <v>500</v>
      </c>
      <c r="G132" s="187" t="n">
        <v>3</v>
      </c>
      <c r="H132" s="57" t="inlineStr">
        <is>
          <t>常温</t>
        </is>
      </c>
      <c r="I132" t="n">
        <v>1.5</v>
      </c>
      <c r="J132" t="n">
        <v>0.0048</v>
      </c>
      <c r="K132" s="28" t="n"/>
      <c r="L132" s="43" t="inlineStr">
        <is>
          <t>干杂</t>
        </is>
      </c>
      <c r="M132" s="57" t="n"/>
      <c r="N132" s="12" t="inlineStr">
        <is>
          <t>月付</t>
        </is>
      </c>
      <c r="O132" s="39" t="n"/>
      <c r="P132" s="39" t="n"/>
      <c r="Q132" s="39" t="n"/>
      <c r="R132" s="39" t="n"/>
      <c r="S132" s="39" t="n"/>
      <c r="T132" s="39" t="n"/>
      <c r="U132" s="39" t="n"/>
      <c r="V132" s="39" t="n"/>
      <c r="W132" s="39" t="n"/>
      <c r="X132" s="39" t="n"/>
    </row>
    <row r="133" ht="17.6" customHeight="1" s="170">
      <c r="A133" s="43" t="inlineStr">
        <is>
          <t>干杂</t>
        </is>
      </c>
      <c r="B133" s="52" t="inlineStr">
        <is>
          <t>鸡蛋</t>
        </is>
      </c>
      <c r="C133" s="12" t="inlineStr">
        <is>
          <t>3.绵阳干杂</t>
        </is>
      </c>
      <c r="D133" s="7" t="n"/>
      <c r="E133" s="52" t="inlineStr">
        <is>
          <t>个</t>
        </is>
      </c>
      <c r="F133" s="26" t="n">
        <v>1</v>
      </c>
      <c r="G133" s="187" t="n">
        <v>0.5</v>
      </c>
      <c r="H133" s="57" t="inlineStr">
        <is>
          <t>常温</t>
        </is>
      </c>
      <c r="I133" t="n">
        <v>1</v>
      </c>
      <c r="J133" t="n">
        <v>0.5</v>
      </c>
      <c r="K133" s="28" t="inlineStr">
        <is>
          <t>单位：个</t>
        </is>
      </c>
      <c r="L133" s="43" t="inlineStr">
        <is>
          <t>干杂</t>
        </is>
      </c>
      <c r="M133" s="57" t="n"/>
      <c r="N133" s="12" t="inlineStr">
        <is>
          <t>月付</t>
        </is>
      </c>
      <c r="O133" s="39" t="n"/>
      <c r="P133" s="39" t="n"/>
      <c r="Q133" s="39" t="n"/>
      <c r="R133" s="39" t="n"/>
      <c r="S133" s="39" t="n"/>
      <c r="T133" s="39" t="n"/>
      <c r="U133" s="39" t="n"/>
      <c r="V133" s="39" t="n"/>
      <c r="W133" s="39" t="n"/>
      <c r="X133" s="39" t="n"/>
    </row>
    <row r="134" ht="17.6" customHeight="1" s="170">
      <c r="A134" s="43" t="inlineStr">
        <is>
          <t>干杂</t>
        </is>
      </c>
      <c r="B134" s="50" t="inlineStr">
        <is>
          <t>芥末</t>
        </is>
      </c>
      <c r="C134" s="12" t="inlineStr">
        <is>
          <t>3.绵阳干杂</t>
        </is>
      </c>
      <c r="D134" s="7" t="n"/>
      <c r="E134" s="52" t="inlineStr">
        <is>
          <t>43g/盒</t>
        </is>
      </c>
      <c r="F134" s="26" t="n">
        <v>43</v>
      </c>
      <c r="G134" s="187" t="n">
        <v>5</v>
      </c>
      <c r="H134" s="57" t="inlineStr">
        <is>
          <t>常温</t>
        </is>
      </c>
      <c r="I134" t="n">
        <v>1</v>
      </c>
      <c r="J134" t="n">
        <v>0.116279</v>
      </c>
      <c r="K134" s="28" t="n"/>
      <c r="L134" s="43" t="inlineStr">
        <is>
          <t>干杂</t>
        </is>
      </c>
      <c r="M134" s="49" t="n"/>
      <c r="N134" s="12" t="inlineStr">
        <is>
          <t>月付</t>
        </is>
      </c>
      <c r="O134" s="39" t="n"/>
      <c r="P134" s="39" t="n"/>
      <c r="Q134" s="39" t="n"/>
      <c r="R134" s="39" t="n"/>
      <c r="S134" s="39" t="n"/>
      <c r="T134" s="39" t="n"/>
      <c r="U134" s="39" t="n"/>
      <c r="V134" s="39" t="n"/>
      <c r="W134" s="39" t="n"/>
      <c r="X134" s="39" t="n"/>
    </row>
    <row r="135" ht="17.6" customHeight="1" s="170">
      <c r="A135" s="43" t="inlineStr">
        <is>
          <t>酱料</t>
        </is>
      </c>
      <c r="B135" s="50" t="inlineStr">
        <is>
          <t>猪油</t>
        </is>
      </c>
      <c r="C135" s="12" t="inlineStr">
        <is>
          <t>网采</t>
        </is>
      </c>
      <c r="D135" s="7" t="n"/>
      <c r="E135" s="12" t="inlineStr">
        <is>
          <t>2.5kg/桶</t>
        </is>
      </c>
      <c r="F135" s="26" t="n">
        <v>500</v>
      </c>
      <c r="G135" s="187" t="n">
        <v>6</v>
      </c>
      <c r="H135" s="57" t="inlineStr">
        <is>
          <t>常温</t>
        </is>
      </c>
      <c r="I135" t="n">
        <v>1</v>
      </c>
      <c r="J135" t="n">
        <v>0.016</v>
      </c>
      <c r="K135" s="28" t="n"/>
      <c r="L135" s="43" t="inlineStr">
        <is>
          <t>酱料</t>
        </is>
      </c>
      <c r="M135" s="49" t="n"/>
      <c r="N135" s="12" t="inlineStr">
        <is>
          <t>月付</t>
        </is>
      </c>
      <c r="O135" s="39" t="n"/>
      <c r="P135" s="39" t="n"/>
      <c r="Q135" s="39" t="n"/>
      <c r="R135" s="39" t="n"/>
      <c r="S135" s="39" t="n"/>
      <c r="T135" s="39" t="n"/>
      <c r="U135" s="39" t="n"/>
      <c r="V135" s="39" t="n"/>
      <c r="W135" s="39" t="n"/>
      <c r="X135" s="39" t="n"/>
    </row>
    <row r="136" ht="17.6" customHeight="1" s="170">
      <c r="A136" s="43" t="inlineStr">
        <is>
          <t>干杂</t>
        </is>
      </c>
      <c r="B136" s="50" t="inlineStr">
        <is>
          <t>香油</t>
        </is>
      </c>
      <c r="C136" s="12" t="inlineStr">
        <is>
          <t>3.绵阳干杂</t>
        </is>
      </c>
      <c r="D136" s="7" t="n"/>
      <c r="E136" s="52" t="inlineStr">
        <is>
          <t>378ml/瓶</t>
        </is>
      </c>
      <c r="F136" s="26" t="n">
        <v>378</v>
      </c>
      <c r="G136" s="187" t="n">
        <v>5.88</v>
      </c>
      <c r="H136" s="57" t="inlineStr">
        <is>
          <t>常温</t>
        </is>
      </c>
      <c r="I136" t="n">
        <v>1</v>
      </c>
      <c r="J136" t="n">
        <v>0.047619</v>
      </c>
      <c r="K136" s="28" t="n"/>
      <c r="L136" s="43" t="inlineStr">
        <is>
          <t>干杂</t>
        </is>
      </c>
      <c r="M136" s="57" t="n"/>
      <c r="N136" s="12" t="inlineStr">
        <is>
          <t>月付</t>
        </is>
      </c>
      <c r="O136" s="39" t="n"/>
      <c r="P136" s="39" t="n"/>
      <c r="Q136" s="39" t="n"/>
      <c r="R136" s="39" t="n"/>
      <c r="S136" s="39" t="n"/>
      <c r="T136" s="39" t="n"/>
      <c r="U136" s="39" t="n"/>
      <c r="V136" s="39" t="n"/>
      <c r="W136" s="39" t="n"/>
      <c r="X136" s="39" t="n"/>
    </row>
    <row r="137" ht="17.6" customHeight="1" s="170">
      <c r="A137" s="43" t="inlineStr">
        <is>
          <t>干杂</t>
        </is>
      </c>
      <c r="B137" s="50" t="inlineStr">
        <is>
          <t>蚝油</t>
        </is>
      </c>
      <c r="C137" s="12" t="inlineStr">
        <is>
          <t>3.绵阳干杂</t>
        </is>
      </c>
      <c r="D137" s="52" t="inlineStr">
        <is>
          <t>海天</t>
        </is>
      </c>
      <c r="E137" s="52" t="inlineStr">
        <is>
          <t>6L/桶</t>
        </is>
      </c>
      <c r="F137" s="26" t="n">
        <v>6000</v>
      </c>
      <c r="G137" s="187" t="n">
        <v>40</v>
      </c>
      <c r="H137" s="57" t="inlineStr">
        <is>
          <t>常温</t>
        </is>
      </c>
      <c r="I137" t="n">
        <v>1</v>
      </c>
      <c r="J137" t="n">
        <v>0.0055</v>
      </c>
      <c r="K137" s="28" t="n"/>
      <c r="L137" s="43" t="inlineStr">
        <is>
          <t>干杂</t>
        </is>
      </c>
      <c r="M137" s="49" t="n"/>
      <c r="N137" s="12" t="inlineStr">
        <is>
          <t>月付</t>
        </is>
      </c>
      <c r="O137" s="39" t="n"/>
      <c r="P137" s="39" t="n"/>
      <c r="Q137" s="39" t="n"/>
      <c r="R137" s="39" t="n"/>
      <c r="S137" s="39" t="n"/>
      <c r="T137" s="39" t="n"/>
      <c r="U137" s="39" t="n"/>
      <c r="V137" s="39" t="n"/>
      <c r="W137" s="39" t="n"/>
      <c r="X137" s="39" t="n"/>
    </row>
    <row r="138" ht="17.6" customHeight="1" s="170">
      <c r="A138" s="43" t="inlineStr">
        <is>
          <t>酱料</t>
        </is>
      </c>
      <c r="B138" s="50" t="inlineStr">
        <is>
          <t>黄灯笼辣椒酱</t>
        </is>
      </c>
      <c r="C138" s="12" t="inlineStr">
        <is>
          <t>3.绵阳干杂</t>
        </is>
      </c>
      <c r="D138" s="7" t="n"/>
      <c r="E138" s="52" t="inlineStr">
        <is>
          <t>700g/瓶</t>
        </is>
      </c>
      <c r="F138" s="26" t="n">
        <v>700</v>
      </c>
      <c r="G138" s="187" t="n">
        <v>10</v>
      </c>
      <c r="H138" s="57" t="inlineStr">
        <is>
          <t>常温</t>
        </is>
      </c>
      <c r="I138" t="n">
        <v>1</v>
      </c>
      <c r="J138" t="n">
        <v>0.014286</v>
      </c>
      <c r="K138" s="28" t="inlineStr">
        <is>
          <t>开封冷藏</t>
        </is>
      </c>
      <c r="L138" s="43" t="inlineStr">
        <is>
          <t>酱料</t>
        </is>
      </c>
      <c r="M138" s="49" t="n"/>
      <c r="N138" s="12" t="inlineStr">
        <is>
          <t>月付</t>
        </is>
      </c>
      <c r="O138" s="39" t="n"/>
      <c r="P138" s="39" t="n"/>
      <c r="Q138" s="39" t="n"/>
      <c r="R138" s="39" t="n"/>
      <c r="S138" s="39" t="n"/>
      <c r="T138" s="39" t="n"/>
      <c r="U138" s="39" t="n"/>
      <c r="V138" s="39" t="n"/>
      <c r="W138" s="39" t="n"/>
      <c r="X138" s="39" t="n"/>
    </row>
    <row r="139" ht="17.6" customHeight="1" s="170">
      <c r="A139" s="43" t="inlineStr">
        <is>
          <t>酱料</t>
        </is>
      </c>
      <c r="B139" s="50" t="inlineStr">
        <is>
          <t>蒜蓉辣椒酱</t>
        </is>
      </c>
      <c r="C139" s="12" t="inlineStr">
        <is>
          <t>3.绵阳干杂</t>
        </is>
      </c>
      <c r="D139" s="7" t="n"/>
      <c r="E139" s="12" t="inlineStr">
        <is>
          <t>6.3kg/桶 98元</t>
        </is>
      </c>
      <c r="F139" s="26" t="n">
        <v>6300</v>
      </c>
      <c r="G139" s="187" t="n">
        <v>98</v>
      </c>
      <c r="H139" s="57" t="inlineStr">
        <is>
          <t>常温</t>
        </is>
      </c>
      <c r="I139" t="n">
        <v>1</v>
      </c>
      <c r="J139" t="n">
        <v>0.015556</v>
      </c>
      <c r="K139" s="28" t="inlineStr">
        <is>
          <t>开封冷藏</t>
        </is>
      </c>
      <c r="L139" s="43" t="inlineStr">
        <is>
          <t>酱料</t>
        </is>
      </c>
      <c r="M139" s="49" t="n"/>
      <c r="N139" s="12" t="inlineStr">
        <is>
          <t>月付</t>
        </is>
      </c>
      <c r="O139" s="39" t="n"/>
      <c r="P139" s="39" t="n"/>
      <c r="Q139" s="39" t="n"/>
      <c r="R139" s="39" t="n"/>
      <c r="S139" s="39" t="n"/>
      <c r="T139" s="39" t="n"/>
      <c r="U139" s="39" t="n"/>
      <c r="V139" s="39" t="n"/>
      <c r="W139" s="39" t="n"/>
      <c r="X139" s="39" t="n"/>
    </row>
    <row r="140" ht="17.6" customHeight="1" s="170">
      <c r="A140" s="43" t="inlineStr">
        <is>
          <t>干杂</t>
        </is>
      </c>
      <c r="B140" s="50" t="inlineStr">
        <is>
          <t>干红花椒</t>
        </is>
      </c>
      <c r="C140" s="12" t="inlineStr">
        <is>
          <t>3.绵阳干杂</t>
        </is>
      </c>
      <c r="D140" s="7" t="n"/>
      <c r="E140" s="12" t="inlineStr">
        <is>
          <t>称重</t>
        </is>
      </c>
      <c r="F140" s="26" t="n">
        <v>500</v>
      </c>
      <c r="G140" s="187" t="n">
        <v>55</v>
      </c>
      <c r="H140" s="57" t="inlineStr">
        <is>
          <t>常温</t>
        </is>
      </c>
      <c r="I140" t="n">
        <v>1</v>
      </c>
      <c r="J140" t="n">
        <v>0.11</v>
      </c>
      <c r="K140" s="28" t="n"/>
      <c r="L140" s="43" t="inlineStr">
        <is>
          <t>干杂</t>
        </is>
      </c>
      <c r="M140" s="49" t="n"/>
      <c r="N140" s="12" t="inlineStr">
        <is>
          <t>月付</t>
        </is>
      </c>
      <c r="O140" s="39" t="n"/>
      <c r="P140" s="39" t="n"/>
      <c r="Q140" s="39" t="n"/>
      <c r="R140" s="39" t="n"/>
      <c r="S140" s="39" t="n"/>
      <c r="T140" s="39" t="n"/>
      <c r="U140" s="39" t="n"/>
      <c r="V140" s="39" t="n"/>
      <c r="W140" s="39" t="n"/>
      <c r="X140" s="39" t="n"/>
    </row>
    <row r="141" ht="17.6" customHeight="1" s="170">
      <c r="A141" s="43" t="inlineStr">
        <is>
          <t>干杂</t>
        </is>
      </c>
      <c r="B141" s="50" t="inlineStr">
        <is>
          <t>辣鲜露</t>
        </is>
      </c>
      <c r="C141" s="12" t="inlineStr">
        <is>
          <t>3.绵阳干杂</t>
        </is>
      </c>
      <c r="D141" s="7" t="n"/>
      <c r="E141" s="52" t="inlineStr">
        <is>
          <t>448ml/瓶</t>
        </is>
      </c>
      <c r="F141" s="26" t="n">
        <v>448</v>
      </c>
      <c r="G141" s="187" t="n">
        <v>33</v>
      </c>
      <c r="H141" s="57" t="inlineStr">
        <is>
          <t>常温</t>
        </is>
      </c>
      <c r="I141" t="n">
        <v>1</v>
      </c>
      <c r="J141" t="n">
        <v>0.073661</v>
      </c>
      <c r="K141" s="28" t="n"/>
      <c r="L141" s="43" t="inlineStr">
        <is>
          <t>干杂</t>
        </is>
      </c>
      <c r="M141" s="49" t="n"/>
      <c r="N141" s="12" t="inlineStr">
        <is>
          <t>月付</t>
        </is>
      </c>
      <c r="O141" s="39" t="n"/>
      <c r="P141" s="39" t="n"/>
      <c r="Q141" s="39" t="n"/>
      <c r="R141" s="39" t="n"/>
      <c r="S141" s="39" t="n"/>
      <c r="T141" s="39" t="n"/>
      <c r="U141" s="39" t="n"/>
      <c r="V141" s="39" t="n"/>
      <c r="W141" s="39" t="n"/>
      <c r="X141" s="39" t="n"/>
    </row>
    <row r="142" ht="17.6" customHeight="1" s="170">
      <c r="A142" s="43" t="inlineStr">
        <is>
          <t>干杂</t>
        </is>
      </c>
      <c r="B142" s="50" t="inlineStr">
        <is>
          <t>鸡油</t>
        </is>
      </c>
      <c r="C142" s="12" t="inlineStr">
        <is>
          <t>3.绵阳干杂</t>
        </is>
      </c>
      <c r="D142" s="7" t="n"/>
      <c r="E142" s="52" t="inlineStr">
        <is>
          <t>5斤/桶</t>
        </is>
      </c>
      <c r="F142" s="26" t="n">
        <v>2500</v>
      </c>
      <c r="G142" s="187" t="n">
        <v>55</v>
      </c>
      <c r="H142" s="57" t="inlineStr">
        <is>
          <t>常温</t>
        </is>
      </c>
      <c r="I142" t="n">
        <v>1</v>
      </c>
      <c r="J142" t="n">
        <v>0.022</v>
      </c>
      <c r="K142" s="28" t="n"/>
      <c r="L142" s="43" t="inlineStr">
        <is>
          <t>干杂</t>
        </is>
      </c>
      <c r="M142" s="49" t="n"/>
      <c r="N142" s="12" t="inlineStr">
        <is>
          <t>月付</t>
        </is>
      </c>
      <c r="O142" s="39" t="n"/>
      <c r="P142" s="39" t="n"/>
      <c r="Q142" s="39" t="n"/>
      <c r="R142" s="39" t="n"/>
      <c r="S142" s="39" t="n"/>
      <c r="T142" s="39" t="n"/>
      <c r="U142" s="39" t="n"/>
      <c r="V142" s="39" t="n"/>
      <c r="W142" s="39" t="n"/>
      <c r="X142" s="39" t="n"/>
    </row>
    <row r="143" ht="17.6" customHeight="1" s="170">
      <c r="A143" s="43" t="inlineStr">
        <is>
          <t>干杂</t>
        </is>
      </c>
      <c r="B143" s="50" t="inlineStr">
        <is>
          <t>东古酱油</t>
        </is>
      </c>
      <c r="C143" s="12" t="inlineStr">
        <is>
          <t>3.绵阳干杂</t>
        </is>
      </c>
      <c r="D143" s="7" t="n"/>
      <c r="E143" s="52" t="inlineStr">
        <is>
          <t>12瓶/108元</t>
        </is>
      </c>
      <c r="F143" s="26" t="n">
        <v>500</v>
      </c>
      <c r="G143" s="187">
        <f>108/12</f>
        <v/>
      </c>
      <c r="H143" s="57" t="inlineStr">
        <is>
          <t>常温</t>
        </is>
      </c>
      <c r="I143" t="n">
        <v>1</v>
      </c>
      <c r="K143" s="28" t="inlineStr">
        <is>
          <t>瓶</t>
        </is>
      </c>
      <c r="L143" s="43" t="inlineStr">
        <is>
          <t>干杂</t>
        </is>
      </c>
      <c r="M143" s="49" t="n"/>
      <c r="N143" s="12" t="inlineStr">
        <is>
          <t>月付</t>
        </is>
      </c>
      <c r="O143" s="39" t="n"/>
      <c r="P143" s="39" t="n"/>
      <c r="Q143" s="39" t="n"/>
      <c r="R143" s="39" t="n"/>
      <c r="S143" s="39" t="n"/>
      <c r="T143" s="39" t="n"/>
      <c r="U143" s="39" t="n"/>
      <c r="V143" s="39" t="n"/>
      <c r="W143" s="39" t="n"/>
      <c r="X143" s="39" t="n"/>
    </row>
    <row r="144" ht="17.6" customHeight="1" s="170">
      <c r="A144" s="43" t="inlineStr">
        <is>
          <t>干杂</t>
        </is>
      </c>
      <c r="B144" s="50" t="inlineStr">
        <is>
          <t>泡野山椒</t>
        </is>
      </c>
      <c r="C144" s="12" t="inlineStr">
        <is>
          <t>3.绵阳干杂</t>
        </is>
      </c>
      <c r="D144" s="7" t="n"/>
      <c r="E144" s="12" t="inlineStr">
        <is>
          <t>称重</t>
        </is>
      </c>
      <c r="F144" s="26" t="n">
        <v>500</v>
      </c>
      <c r="G144" s="187" t="n">
        <v>8</v>
      </c>
      <c r="H144" s="28" t="n"/>
      <c r="I144" t="n">
        <v>1</v>
      </c>
      <c r="J144" t="n">
        <v>0.016</v>
      </c>
      <c r="K144" s="28" t="n"/>
      <c r="L144" s="43" t="inlineStr">
        <is>
          <t>干杂</t>
        </is>
      </c>
      <c r="M144" s="49" t="n"/>
      <c r="N144" s="12" t="inlineStr">
        <is>
          <t>月付</t>
        </is>
      </c>
      <c r="O144" s="39" t="n"/>
      <c r="P144" s="39" t="n"/>
      <c r="Q144" s="39" t="n"/>
      <c r="R144" s="39" t="n"/>
      <c r="S144" s="39" t="n"/>
      <c r="T144" s="39" t="n"/>
      <c r="U144" s="39" t="n"/>
      <c r="V144" s="39" t="n"/>
      <c r="W144" s="39" t="n"/>
      <c r="X144" s="39" t="n"/>
    </row>
    <row r="145" ht="17.6" customHeight="1" s="170">
      <c r="A145" s="43" t="inlineStr">
        <is>
          <t>干杂</t>
        </is>
      </c>
      <c r="B145" s="50" t="inlineStr">
        <is>
          <t>新一代辣椒面</t>
        </is>
      </c>
      <c r="C145" s="12" t="inlineStr">
        <is>
          <t>3.绵阳干杂</t>
        </is>
      </c>
      <c r="D145" s="7" t="n"/>
      <c r="E145" s="12" t="inlineStr">
        <is>
          <t>称重</t>
        </is>
      </c>
      <c r="F145" s="26" t="n">
        <v>500</v>
      </c>
      <c r="G145" s="187" t="n">
        <v>16</v>
      </c>
      <c r="H145" s="48" t="n"/>
      <c r="I145" t="n">
        <v>1</v>
      </c>
      <c r="J145" t="n">
        <v>0.032</v>
      </c>
      <c r="K145" s="28" t="n"/>
      <c r="L145" s="43" t="inlineStr">
        <is>
          <t>干杂</t>
        </is>
      </c>
      <c r="M145" s="49" t="n"/>
      <c r="N145" s="12" t="inlineStr">
        <is>
          <t>月付</t>
        </is>
      </c>
      <c r="O145" s="39" t="n"/>
      <c r="P145" s="39" t="n"/>
      <c r="Q145" s="39" t="n"/>
      <c r="R145" s="39" t="n"/>
      <c r="S145" s="39" t="n"/>
      <c r="T145" s="39" t="n"/>
      <c r="U145" s="39" t="n"/>
      <c r="V145" s="39" t="n"/>
      <c r="W145" s="39" t="n"/>
      <c r="X145" s="39" t="n"/>
    </row>
    <row r="146" ht="17.6" customHeight="1" s="170">
      <c r="A146" s="43" t="inlineStr">
        <is>
          <t>肉类</t>
        </is>
      </c>
      <c r="B146" s="50" t="inlineStr">
        <is>
          <t>去骨鸡腿肉</t>
        </is>
      </c>
      <c r="C146" s="12" t="inlineStr">
        <is>
          <t>6.绵阳干冰</t>
        </is>
      </c>
      <c r="D146" s="7" t="n"/>
      <c r="E146" s="7" t="n"/>
      <c r="F146" s="26" t="n">
        <v>500</v>
      </c>
      <c r="G146" s="187" t="n">
        <v>7.4</v>
      </c>
      <c r="H146" s="57" t="inlineStr">
        <is>
          <t>冷藏</t>
        </is>
      </c>
      <c r="I146" t="n">
        <v>0.95</v>
      </c>
      <c r="J146" t="n">
        <v>0.0148</v>
      </c>
      <c r="K146" s="28" t="n"/>
      <c r="L146" s="43" t="inlineStr">
        <is>
          <t>肉类</t>
        </is>
      </c>
      <c r="M146" s="74" t="n"/>
      <c r="N146" s="12" t="inlineStr">
        <is>
          <t>货到付款</t>
        </is>
      </c>
      <c r="O146" s="39" t="n"/>
      <c r="P146" s="39" t="n"/>
      <c r="Q146" s="39" t="n"/>
      <c r="R146" s="39" t="n"/>
      <c r="S146" s="39" t="n"/>
      <c r="T146" s="39" t="n"/>
      <c r="U146" s="39" t="n"/>
      <c r="V146" s="39" t="n"/>
      <c r="W146" s="39" t="n"/>
      <c r="X146" s="39" t="n"/>
    </row>
    <row r="147" ht="17.6" customHeight="1" s="170">
      <c r="A147" s="43" t="inlineStr">
        <is>
          <t>低值易耗</t>
        </is>
      </c>
      <c r="B147" s="50" t="inlineStr">
        <is>
          <t>干冰</t>
        </is>
      </c>
      <c r="C147" s="12" t="inlineStr">
        <is>
          <t>6.绵阳干冰</t>
        </is>
      </c>
      <c r="D147" s="7" t="n"/>
      <c r="E147" s="12" t="inlineStr">
        <is>
          <t>称重</t>
        </is>
      </c>
      <c r="F147" s="26" t="n">
        <v>500</v>
      </c>
      <c r="G147" s="187" t="n">
        <v>3.5</v>
      </c>
      <c r="H147" s="57" t="n"/>
      <c r="I147" t="n">
        <v>1</v>
      </c>
      <c r="J147" t="n">
        <v>0.007</v>
      </c>
      <c r="K147" s="28" t="n"/>
      <c r="L147" s="43" t="inlineStr">
        <is>
          <t>低值易耗</t>
        </is>
      </c>
      <c r="M147" s="49" t="n"/>
      <c r="N147" s="12" t="inlineStr">
        <is>
          <t>货到付款</t>
        </is>
      </c>
      <c r="O147" s="39" t="n"/>
      <c r="P147" s="39" t="n"/>
      <c r="Q147" s="39" t="n"/>
      <c r="R147" s="39" t="n"/>
      <c r="S147" s="39" t="n"/>
      <c r="T147" s="39" t="n"/>
      <c r="U147" s="39" t="n"/>
      <c r="V147" s="39" t="n"/>
      <c r="W147" s="39" t="n"/>
      <c r="X147" s="39" t="n"/>
    </row>
    <row r="148" ht="17.6" customHeight="1" s="170">
      <c r="A148" s="45" t="inlineStr">
        <is>
          <t>酒水</t>
        </is>
      </c>
      <c r="B148" s="51" t="inlineStr">
        <is>
          <t>啤酒</t>
        </is>
      </c>
      <c r="C148" s="12" t="inlineStr">
        <is>
          <t>5.酒商</t>
        </is>
      </c>
      <c r="D148" s="7" t="n"/>
      <c r="E148" s="12" t="inlineStr">
        <is>
          <t>瓶</t>
        </is>
      </c>
      <c r="F148" s="26" t="n">
        <v>500</v>
      </c>
      <c r="G148" s="187" t="n">
        <v>6</v>
      </c>
      <c r="H148" s="28" t="n"/>
      <c r="I148" t="n">
        <v>1</v>
      </c>
      <c r="J148" t="n">
        <v>0.012</v>
      </c>
      <c r="K148" s="28" t="n"/>
      <c r="L148" s="45" t="inlineStr">
        <is>
          <t>酒水</t>
        </is>
      </c>
      <c r="M148" s="49" t="n"/>
      <c r="N148" s="12" t="inlineStr">
        <is>
          <t>月付</t>
        </is>
      </c>
      <c r="O148" s="39" t="n"/>
      <c r="P148" s="39" t="n"/>
      <c r="Q148" s="39" t="n"/>
      <c r="R148" s="39" t="n"/>
      <c r="S148" s="39" t="n"/>
      <c r="T148" s="39" t="n"/>
      <c r="U148" s="39" t="n"/>
      <c r="V148" s="39" t="n"/>
      <c r="W148" s="39" t="n"/>
      <c r="X148" s="39" t="n"/>
    </row>
    <row r="149" ht="17.6" customHeight="1" s="170">
      <c r="A149" s="43" t="inlineStr">
        <is>
          <t>肉类</t>
        </is>
      </c>
      <c r="B149" s="50" t="inlineStr">
        <is>
          <t>M9和牛</t>
        </is>
      </c>
      <c r="C149" s="12" t="inlineStr">
        <is>
          <t>集采</t>
        </is>
      </c>
      <c r="D149" s="52" t="inlineStr">
        <is>
          <t>西部牧业</t>
        </is>
      </c>
      <c r="E149" s="12" t="inlineStr">
        <is>
          <t>称重</t>
        </is>
      </c>
      <c r="F149" s="26" t="n">
        <v>500</v>
      </c>
      <c r="G149" s="187" t="n">
        <v>80</v>
      </c>
      <c r="H149" s="57" t="inlineStr">
        <is>
          <t>冷冻</t>
        </is>
      </c>
      <c r="I149" t="n">
        <v>0.85</v>
      </c>
      <c r="J149" t="n">
        <v>0.16</v>
      </c>
      <c r="K149" s="28" t="n"/>
      <c r="L149" s="43" t="inlineStr">
        <is>
          <t>肉类</t>
        </is>
      </c>
      <c r="M149" s="49" t="inlineStr">
        <is>
          <t>√</t>
        </is>
      </c>
      <c r="N149" s="12" t="inlineStr">
        <is>
          <t>月付</t>
        </is>
      </c>
      <c r="O149" s="39" t="n"/>
      <c r="P149" s="39" t="n"/>
      <c r="Q149" s="39" t="n"/>
      <c r="R149" s="39" t="n"/>
      <c r="S149" s="39" t="n"/>
      <c r="T149" s="39" t="n"/>
      <c r="U149" s="39" t="n"/>
      <c r="V149" s="39" t="n"/>
      <c r="W149" s="39" t="n"/>
      <c r="X149" s="39" t="n"/>
    </row>
    <row r="150" ht="17.6" customHeight="1" s="170">
      <c r="A150" s="43" t="inlineStr">
        <is>
          <t>肉类</t>
        </is>
      </c>
      <c r="B150" s="50" t="inlineStr">
        <is>
          <t>和牛肉糜</t>
        </is>
      </c>
      <c r="C150" s="12" t="inlineStr">
        <is>
          <t>集采</t>
        </is>
      </c>
      <c r="D150" s="52" t="inlineStr">
        <is>
          <t>西部牧业</t>
        </is>
      </c>
      <c r="E150" s="12" t="inlineStr">
        <is>
          <t>称重</t>
        </is>
      </c>
      <c r="F150" s="26" t="n">
        <v>500</v>
      </c>
      <c r="G150" s="187">
        <f>61/2</f>
        <v/>
      </c>
      <c r="H150" s="57" t="inlineStr">
        <is>
          <t>冷冻</t>
        </is>
      </c>
      <c r="I150" t="n">
        <v>1</v>
      </c>
      <c r="K150" s="28" t="n"/>
      <c r="L150" s="43" t="inlineStr">
        <is>
          <t>肉类</t>
        </is>
      </c>
      <c r="M150" s="49" t="inlineStr">
        <is>
          <t>√</t>
        </is>
      </c>
      <c r="N150" s="12" t="inlineStr">
        <is>
          <t>月付</t>
        </is>
      </c>
      <c r="O150" s="39" t="n"/>
      <c r="P150" s="39" t="n"/>
      <c r="Q150" s="39" t="n"/>
      <c r="R150" s="39" t="n"/>
      <c r="S150" s="39" t="n"/>
      <c r="T150" s="39" t="n"/>
      <c r="U150" s="39" t="n"/>
      <c r="V150" s="39" t="n"/>
      <c r="W150" s="39" t="n"/>
      <c r="X150" s="39" t="n"/>
    </row>
    <row r="151" ht="17.6" customHeight="1" s="170">
      <c r="A151" s="43" t="inlineStr">
        <is>
          <t>肉类</t>
        </is>
      </c>
      <c r="B151" s="50" t="inlineStr">
        <is>
          <t>软哨</t>
        </is>
      </c>
      <c r="C151" s="22" t="inlineStr">
        <is>
          <t>集采</t>
        </is>
      </c>
      <c r="D151" s="7" t="n"/>
      <c r="E151" s="12" t="inlineStr">
        <is>
          <t>500g/袋</t>
        </is>
      </c>
      <c r="F151" s="26" t="n">
        <v>500</v>
      </c>
      <c r="G151" s="187" t="n">
        <v>36</v>
      </c>
      <c r="H151" s="57" t="inlineStr">
        <is>
          <t>冷藏</t>
        </is>
      </c>
      <c r="I151" t="n">
        <v>1</v>
      </c>
      <c r="J151" t="n">
        <v>0.07199999999999999</v>
      </c>
      <c r="K151" s="28" t="n"/>
      <c r="L151" s="43" t="inlineStr">
        <is>
          <t>肉类</t>
        </is>
      </c>
      <c r="M151" s="49" t="inlineStr">
        <is>
          <t>√</t>
        </is>
      </c>
      <c r="N151" s="12" t="inlineStr">
        <is>
          <t>月付</t>
        </is>
      </c>
      <c r="O151" s="60" t="inlineStr">
        <is>
          <t>暂没使用</t>
        </is>
      </c>
      <c r="P151" s="39" t="n"/>
      <c r="Q151" s="39" t="n"/>
      <c r="R151" s="39" t="n"/>
      <c r="S151" s="39" t="n"/>
      <c r="T151" s="39" t="n"/>
      <c r="U151" s="39" t="n"/>
      <c r="V151" s="39" t="n"/>
      <c r="W151" s="39" t="n"/>
      <c r="X151" s="39" t="n"/>
    </row>
    <row r="152" ht="17.6" customHeight="1" s="170">
      <c r="A152" s="43" t="inlineStr">
        <is>
          <t>蔬菜</t>
        </is>
      </c>
      <c r="B152" s="50" t="inlineStr">
        <is>
          <t>木姜子</t>
        </is>
      </c>
      <c r="C152" s="52" t="inlineStr">
        <is>
          <t>集采</t>
        </is>
      </c>
      <c r="D152" s="7" t="n"/>
      <c r="E152" s="12" t="inlineStr">
        <is>
          <t>称重</t>
        </is>
      </c>
      <c r="F152" s="32" t="n">
        <v>500</v>
      </c>
      <c r="G152" s="189" t="n">
        <v>18</v>
      </c>
      <c r="H152" s="57" t="inlineStr">
        <is>
          <t>冷冻</t>
        </is>
      </c>
      <c r="I152" t="n">
        <v>1</v>
      </c>
      <c r="J152" t="n">
        <v>0.036</v>
      </c>
      <c r="K152" s="28" t="n"/>
      <c r="L152" s="43" t="inlineStr">
        <is>
          <t>蔬菜</t>
        </is>
      </c>
      <c r="M152" s="49" t="inlineStr">
        <is>
          <t>√</t>
        </is>
      </c>
      <c r="N152" s="12" t="inlineStr">
        <is>
          <t>月付</t>
        </is>
      </c>
      <c r="O152" s="39" t="n"/>
      <c r="P152" s="39" t="n"/>
      <c r="Q152" s="39" t="n"/>
      <c r="R152" s="39" t="n"/>
      <c r="S152" s="39" t="n"/>
      <c r="T152" s="39" t="n"/>
      <c r="U152" s="39" t="n"/>
      <c r="V152" s="39" t="n"/>
      <c r="W152" s="39" t="n"/>
      <c r="X152" s="39" t="n"/>
    </row>
    <row r="153" ht="17.6" customHeight="1" s="170">
      <c r="A153" s="43" t="inlineStr">
        <is>
          <t>干杂</t>
        </is>
      </c>
      <c r="B153" s="50" t="inlineStr">
        <is>
          <t>糍粑辣椒</t>
        </is>
      </c>
      <c r="C153" s="22" t="inlineStr">
        <is>
          <t>集采</t>
        </is>
      </c>
      <c r="D153" s="52" t="inlineStr">
        <is>
          <t>椒遇炉辣业</t>
        </is>
      </c>
      <c r="E153" s="12" t="inlineStr">
        <is>
          <t>称重</t>
        </is>
      </c>
      <c r="F153" s="26" t="n">
        <v>500</v>
      </c>
      <c r="G153" s="187" t="n">
        <v>15</v>
      </c>
      <c r="H153" s="57" t="inlineStr">
        <is>
          <t>冷藏</t>
        </is>
      </c>
      <c r="I153" t="n">
        <v>1</v>
      </c>
      <c r="J153" t="n">
        <v>0.03</v>
      </c>
      <c r="K153" s="28" t="n"/>
      <c r="L153" s="43" t="inlineStr">
        <is>
          <t>干杂</t>
        </is>
      </c>
      <c r="M153" s="49" t="inlineStr">
        <is>
          <t>√</t>
        </is>
      </c>
      <c r="N153" s="12" t="inlineStr">
        <is>
          <t>月付</t>
        </is>
      </c>
      <c r="O153" s="39" t="n"/>
      <c r="P153" s="39" t="n"/>
      <c r="Q153" s="39" t="n"/>
      <c r="R153" s="39" t="n"/>
      <c r="S153" s="39" t="n"/>
      <c r="T153" s="39" t="n"/>
      <c r="U153" s="39" t="n"/>
      <c r="V153" s="39" t="n"/>
      <c r="W153" s="39" t="n"/>
      <c r="X153" s="39" t="n"/>
    </row>
    <row r="154" ht="17.6" customHeight="1" s="170">
      <c r="A154" s="43" t="inlineStr">
        <is>
          <t>干杂</t>
        </is>
      </c>
      <c r="B154" s="50" t="inlineStr">
        <is>
          <t>糊辣椒</t>
        </is>
      </c>
      <c r="C154" s="52" t="inlineStr">
        <is>
          <t>集采</t>
        </is>
      </c>
      <c r="D154" s="7" t="n"/>
      <c r="E154" s="12" t="inlineStr">
        <is>
          <t>称重</t>
        </is>
      </c>
      <c r="F154" s="26" t="n">
        <v>500</v>
      </c>
      <c r="G154" s="187" t="n">
        <v>25</v>
      </c>
      <c r="H154" s="57" t="inlineStr">
        <is>
          <t>常温</t>
        </is>
      </c>
      <c r="I154" t="n">
        <v>1</v>
      </c>
      <c r="J154" t="n">
        <v>0.05</v>
      </c>
      <c r="K154" s="28" t="n"/>
      <c r="L154" s="43" t="inlineStr">
        <is>
          <t>干杂</t>
        </is>
      </c>
      <c r="M154" s="49" t="inlineStr">
        <is>
          <t>√</t>
        </is>
      </c>
      <c r="N154" s="12" t="inlineStr">
        <is>
          <t>月付</t>
        </is>
      </c>
      <c r="O154" s="39" t="n"/>
      <c r="P154" s="39" t="n"/>
      <c r="Q154" s="39" t="n"/>
      <c r="R154" s="39" t="n"/>
      <c r="S154" s="39" t="n"/>
      <c r="T154" s="39" t="n"/>
      <c r="U154" s="39" t="n"/>
      <c r="V154" s="39" t="n"/>
      <c r="W154" s="39" t="n"/>
      <c r="X154" s="39" t="n"/>
    </row>
    <row r="155" ht="17.6" customHeight="1" s="170">
      <c r="A155" s="43" t="inlineStr">
        <is>
          <t>干杂</t>
        </is>
      </c>
      <c r="B155" s="50" t="inlineStr">
        <is>
          <t>贵州五香辣椒面</t>
        </is>
      </c>
      <c r="C155" s="52" t="inlineStr">
        <is>
          <t>集采</t>
        </is>
      </c>
      <c r="D155" s="7" t="n"/>
      <c r="E155" s="12" t="inlineStr">
        <is>
          <t>称重</t>
        </is>
      </c>
      <c r="F155" s="26" t="n">
        <v>500</v>
      </c>
      <c r="G155" s="187" t="n">
        <v>20</v>
      </c>
      <c r="H155" s="57" t="inlineStr">
        <is>
          <t>常温</t>
        </is>
      </c>
      <c r="I155" t="n">
        <v>1</v>
      </c>
      <c r="J155" t="n">
        <v>0.04</v>
      </c>
      <c r="K155" s="28" t="n"/>
      <c r="L155" s="43" t="inlineStr">
        <is>
          <t>干杂</t>
        </is>
      </c>
      <c r="M155" s="49" t="inlineStr">
        <is>
          <t>√</t>
        </is>
      </c>
      <c r="N155" s="12" t="inlineStr">
        <is>
          <t>月付</t>
        </is>
      </c>
      <c r="O155" s="39" t="n"/>
      <c r="P155" s="39" t="n"/>
      <c r="Q155" s="39" t="n"/>
      <c r="R155" s="39" t="n"/>
      <c r="S155" s="39" t="n"/>
      <c r="T155" s="39" t="n"/>
      <c r="U155" s="39" t="n"/>
      <c r="V155" s="39" t="n"/>
      <c r="W155" s="39" t="n"/>
      <c r="X155" s="39" t="n"/>
    </row>
    <row r="156" ht="17.6" customHeight="1" s="170">
      <c r="A156" s="5" t="inlineStr">
        <is>
          <t>干杂</t>
        </is>
      </c>
      <c r="B156" s="12" t="inlineStr">
        <is>
          <t>脆哨</t>
        </is>
      </c>
      <c r="C156" s="52" t="inlineStr">
        <is>
          <t>集采</t>
        </is>
      </c>
      <c r="D156" s="12" t="inlineStr">
        <is>
          <t>脆哨粒（二哨）</t>
        </is>
      </c>
      <c r="E156" s="12" t="inlineStr">
        <is>
          <t>500g/袋</t>
        </is>
      </c>
      <c r="F156" s="26" t="n">
        <v>500</v>
      </c>
      <c r="G156" s="187" t="n">
        <v>27</v>
      </c>
      <c r="H156" s="57" t="inlineStr">
        <is>
          <t>冷藏</t>
        </is>
      </c>
      <c r="I156" t="n">
        <v>1</v>
      </c>
      <c r="J156" t="n">
        <v>0.054</v>
      </c>
      <c r="K156" s="28" t="n"/>
      <c r="L156" s="5" t="inlineStr">
        <is>
          <t>干杂</t>
        </is>
      </c>
      <c r="M156" s="57" t="inlineStr">
        <is>
          <t>√</t>
        </is>
      </c>
      <c r="N156" s="12" t="inlineStr">
        <is>
          <t>月付</t>
        </is>
      </c>
      <c r="O156" s="39" t="n"/>
      <c r="P156" s="39" t="n"/>
      <c r="Q156" s="39" t="n"/>
      <c r="R156" s="39" t="n"/>
      <c r="S156" s="39" t="n"/>
      <c r="T156" s="39" t="n"/>
      <c r="U156" s="39" t="n"/>
      <c r="V156" s="39" t="n"/>
      <c r="W156" s="39" t="n"/>
      <c r="X156" s="39" t="n"/>
    </row>
    <row r="157" ht="17.6" customHeight="1" s="170">
      <c r="A157" s="43" t="inlineStr">
        <is>
          <t>干杂</t>
        </is>
      </c>
      <c r="B157" s="52" t="inlineStr">
        <is>
          <t>豆腐圆子</t>
        </is>
      </c>
      <c r="C157" s="52" t="inlineStr">
        <is>
          <t>集采</t>
        </is>
      </c>
      <c r="D157" s="7" t="n"/>
      <c r="E157" s="12" t="inlineStr">
        <is>
          <t>称重</t>
        </is>
      </c>
      <c r="F157" s="26" t="n">
        <v>500</v>
      </c>
      <c r="G157" s="187" t="n">
        <v>15</v>
      </c>
      <c r="H157" s="57" t="inlineStr">
        <is>
          <t>冷藏</t>
        </is>
      </c>
      <c r="I157" t="n">
        <v>0.9</v>
      </c>
      <c r="J157" t="n">
        <v>0.03</v>
      </c>
      <c r="K157" s="28" t="n"/>
      <c r="L157" s="43" t="inlineStr">
        <is>
          <t>干杂</t>
        </is>
      </c>
      <c r="M157" s="57" t="inlineStr">
        <is>
          <t>√</t>
        </is>
      </c>
      <c r="N157" s="12" t="inlineStr">
        <is>
          <t>月付</t>
        </is>
      </c>
      <c r="O157" s="39" t="n"/>
      <c r="P157" s="39" t="n"/>
      <c r="Q157" s="39" t="n"/>
      <c r="R157" s="39" t="n"/>
      <c r="S157" s="39" t="n"/>
      <c r="T157" s="39" t="n"/>
      <c r="U157" s="39" t="n"/>
      <c r="V157" s="39" t="n"/>
      <c r="W157" s="39" t="n"/>
      <c r="X157" s="39" t="n"/>
    </row>
    <row r="158" ht="17.6" customHeight="1" s="170">
      <c r="A158" s="43" t="inlineStr">
        <is>
          <t>干杂</t>
        </is>
      </c>
      <c r="B158" s="52" t="inlineStr">
        <is>
          <t>糟辣椒</t>
        </is>
      </c>
      <c r="C158" s="52" t="inlineStr">
        <is>
          <t>集采</t>
        </is>
      </c>
      <c r="D158" s="7" t="n"/>
      <c r="E158" s="12" t="inlineStr">
        <is>
          <t>称重</t>
        </is>
      </c>
      <c r="F158" s="26" t="n">
        <v>500</v>
      </c>
      <c r="G158" s="187" t="n">
        <v>15</v>
      </c>
      <c r="H158" s="57" t="inlineStr">
        <is>
          <t>冷藏</t>
        </is>
      </c>
      <c r="I158" t="n">
        <v>1</v>
      </c>
      <c r="J158" t="n">
        <v>0.03</v>
      </c>
      <c r="K158" s="28" t="n"/>
      <c r="L158" s="43" t="inlineStr">
        <is>
          <t>干杂</t>
        </is>
      </c>
      <c r="M158" s="57" t="inlineStr">
        <is>
          <t>√</t>
        </is>
      </c>
      <c r="N158" s="12" t="inlineStr">
        <is>
          <t>月付</t>
        </is>
      </c>
      <c r="O158" s="39" t="n"/>
      <c r="P158" s="39" t="n"/>
      <c r="Q158" s="39" t="n"/>
      <c r="R158" s="39" t="n"/>
      <c r="S158" s="39" t="n"/>
      <c r="T158" s="39" t="n"/>
      <c r="U158" s="39" t="n"/>
      <c r="V158" s="39" t="n"/>
      <c r="W158" s="39" t="n"/>
      <c r="X158" s="39" t="n"/>
    </row>
    <row r="159" ht="17.6" customHeight="1" s="170">
      <c r="A159" s="5" t="inlineStr">
        <is>
          <t>干杂</t>
        </is>
      </c>
      <c r="B159" s="52" t="inlineStr">
        <is>
          <t>脆哨沫</t>
        </is>
      </c>
      <c r="C159" s="22" t="inlineStr">
        <is>
          <t>集采</t>
        </is>
      </c>
      <c r="D159" s="7" t="n"/>
      <c r="E159" s="12" t="inlineStr">
        <is>
          <t>称重</t>
        </is>
      </c>
      <c r="F159" s="26" t="n">
        <v>500</v>
      </c>
      <c r="G159" s="187" t="n">
        <v>13</v>
      </c>
      <c r="H159" s="57" t="inlineStr">
        <is>
          <t>冷藏</t>
        </is>
      </c>
      <c r="I159" t="n">
        <v>1</v>
      </c>
      <c r="J159" t="n">
        <v>0.026</v>
      </c>
      <c r="K159" s="28" t="n"/>
      <c r="L159" s="5" t="inlineStr">
        <is>
          <t>干杂</t>
        </is>
      </c>
      <c r="M159" s="57" t="inlineStr">
        <is>
          <t>√</t>
        </is>
      </c>
      <c r="N159" s="12" t="inlineStr">
        <is>
          <t>月付</t>
        </is>
      </c>
      <c r="O159" s="39" t="n"/>
      <c r="P159" s="39" t="n"/>
      <c r="Q159" s="39" t="n"/>
      <c r="R159" s="39" t="n"/>
      <c r="S159" s="39" t="n"/>
      <c r="T159" s="39" t="n"/>
      <c r="U159" s="39" t="n"/>
      <c r="V159" s="39" t="n"/>
      <c r="W159" s="39" t="n"/>
      <c r="X159" s="39" t="n"/>
    </row>
    <row r="160" ht="17.6" customHeight="1" s="170">
      <c r="A160" s="43" t="inlineStr">
        <is>
          <t>干杂</t>
        </is>
      </c>
      <c r="B160" s="52" t="inlineStr">
        <is>
          <t>软哨片</t>
        </is>
      </c>
      <c r="C160" s="52" t="inlineStr">
        <is>
          <t>集采</t>
        </is>
      </c>
      <c r="D160" s="7" t="n"/>
      <c r="E160" s="12" t="inlineStr">
        <is>
          <t>称重</t>
        </is>
      </c>
      <c r="F160" s="26" t="n">
        <v>500</v>
      </c>
      <c r="G160" s="187" t="n">
        <v>36</v>
      </c>
      <c r="H160" s="57" t="inlineStr">
        <is>
          <t>冷藏</t>
        </is>
      </c>
      <c r="I160" t="n">
        <v>1</v>
      </c>
      <c r="J160" t="n">
        <v>0.07199999999999999</v>
      </c>
      <c r="K160" s="28" t="n"/>
      <c r="L160" s="43" t="inlineStr">
        <is>
          <t>干杂</t>
        </is>
      </c>
      <c r="M160" s="57" t="inlineStr">
        <is>
          <t>√</t>
        </is>
      </c>
      <c r="N160" s="12" t="inlineStr">
        <is>
          <t>月付</t>
        </is>
      </c>
      <c r="O160" s="39" t="n"/>
      <c r="P160" s="39" t="n"/>
      <c r="Q160" s="39" t="n"/>
      <c r="R160" s="39" t="n"/>
      <c r="S160" s="39" t="n"/>
      <c r="T160" s="39" t="n"/>
      <c r="U160" s="39" t="n"/>
      <c r="V160" s="39" t="n"/>
      <c r="W160" s="39" t="n"/>
      <c r="X160" s="39" t="n"/>
    </row>
    <row r="161" ht="17.6" customHeight="1" s="170">
      <c r="A161" s="43" t="inlineStr">
        <is>
          <t>干杂</t>
        </is>
      </c>
      <c r="B161" s="52" t="inlineStr">
        <is>
          <t>软哨颗粒</t>
        </is>
      </c>
      <c r="C161" s="52" t="inlineStr">
        <is>
          <t>集采</t>
        </is>
      </c>
      <c r="D161" s="7" t="n"/>
      <c r="E161" s="12" t="inlineStr">
        <is>
          <t>称重</t>
        </is>
      </c>
      <c r="F161" s="26" t="n">
        <v>500</v>
      </c>
      <c r="G161" s="187" t="n">
        <v>36</v>
      </c>
      <c r="H161" s="57" t="inlineStr">
        <is>
          <t>冷藏</t>
        </is>
      </c>
      <c r="I161" t="n">
        <v>1</v>
      </c>
      <c r="J161" t="n">
        <v>0.07199999999999999</v>
      </c>
      <c r="K161" s="28" t="n"/>
      <c r="L161" s="43" t="inlineStr">
        <is>
          <t>干杂</t>
        </is>
      </c>
      <c r="M161" s="57" t="inlineStr">
        <is>
          <t>√</t>
        </is>
      </c>
      <c r="N161" s="12" t="inlineStr">
        <is>
          <t>月付</t>
        </is>
      </c>
      <c r="O161" s="39" t="n"/>
      <c r="P161" s="39" t="n"/>
      <c r="Q161" s="39" t="n"/>
      <c r="R161" s="39" t="n"/>
      <c r="S161" s="39" t="n"/>
      <c r="T161" s="39" t="n"/>
      <c r="U161" s="39" t="n"/>
      <c r="V161" s="39" t="n"/>
      <c r="W161" s="39" t="n"/>
      <c r="X161" s="39" t="n"/>
    </row>
    <row r="162" ht="17.6" customHeight="1" s="170">
      <c r="A162" s="43" t="inlineStr">
        <is>
          <t>酱料</t>
        </is>
      </c>
      <c r="B162" s="52" t="inlineStr">
        <is>
          <t>蘸料辣椒</t>
        </is>
      </c>
      <c r="C162" s="52" t="inlineStr">
        <is>
          <t>集采</t>
        </is>
      </c>
      <c r="D162" s="7" t="n"/>
      <c r="E162" s="12" t="inlineStr">
        <is>
          <t>称重</t>
        </is>
      </c>
      <c r="F162" s="26" t="n">
        <v>500</v>
      </c>
      <c r="G162" s="187" t="n">
        <v>55</v>
      </c>
      <c r="H162" s="57" t="inlineStr">
        <is>
          <t>冷藏</t>
        </is>
      </c>
      <c r="I162" t="n">
        <v>1</v>
      </c>
      <c r="J162" t="n">
        <v>0.11</v>
      </c>
      <c r="K162" s="28" t="n"/>
      <c r="L162" s="43" t="inlineStr">
        <is>
          <t>酱料</t>
        </is>
      </c>
      <c r="M162" s="57" t="inlineStr">
        <is>
          <t>√</t>
        </is>
      </c>
      <c r="N162" s="12" t="inlineStr">
        <is>
          <t>月付</t>
        </is>
      </c>
      <c r="O162" s="39" t="n"/>
      <c r="P162" s="39" t="n"/>
      <c r="Q162" s="39" t="n"/>
      <c r="R162" s="39" t="n"/>
      <c r="S162" s="39" t="n"/>
      <c r="T162" s="39" t="n"/>
      <c r="U162" s="39" t="n"/>
      <c r="V162" s="39" t="n"/>
      <c r="W162" s="39" t="n"/>
      <c r="X162" s="39" t="n"/>
    </row>
    <row r="163" ht="17.6" customHeight="1" s="170">
      <c r="A163" s="5" t="inlineStr">
        <is>
          <t>酱料</t>
        </is>
      </c>
      <c r="B163" s="52" t="inlineStr">
        <is>
          <t>烧椒</t>
        </is>
      </c>
      <c r="C163" s="52" t="inlineStr">
        <is>
          <t>集采</t>
        </is>
      </c>
      <c r="D163" s="7" t="n"/>
      <c r="E163" s="12" t="inlineStr">
        <is>
          <t>称重</t>
        </is>
      </c>
      <c r="F163" s="26" t="n">
        <v>500</v>
      </c>
      <c r="G163" s="187" t="n">
        <v>46</v>
      </c>
      <c r="H163" s="57" t="inlineStr">
        <is>
          <t>冷藏</t>
        </is>
      </c>
      <c r="I163" t="n">
        <v>1</v>
      </c>
      <c r="J163" t="n">
        <v>0.092</v>
      </c>
      <c r="K163" s="28" t="n"/>
      <c r="L163" s="5" t="inlineStr">
        <is>
          <t>酱料</t>
        </is>
      </c>
      <c r="M163" s="57" t="inlineStr">
        <is>
          <t>√</t>
        </is>
      </c>
      <c r="N163" s="12" t="inlineStr">
        <is>
          <t>月付</t>
        </is>
      </c>
      <c r="O163" s="39" t="n"/>
      <c r="P163" s="39" t="n"/>
      <c r="Q163" s="39" t="n"/>
      <c r="R163" s="39" t="n"/>
      <c r="S163" s="39" t="n"/>
      <c r="T163" s="39" t="n"/>
      <c r="U163" s="39" t="n"/>
      <c r="V163" s="39" t="n"/>
      <c r="W163" s="39" t="n"/>
      <c r="X163" s="39" t="n"/>
    </row>
    <row r="164" ht="17.6" customHeight="1" s="170">
      <c r="A164" s="43" t="inlineStr">
        <is>
          <t>酱料</t>
        </is>
      </c>
      <c r="B164" s="52" t="inlineStr">
        <is>
          <t>酸汤底料</t>
        </is>
      </c>
      <c r="C164" s="52" t="inlineStr">
        <is>
          <t>集采</t>
        </is>
      </c>
      <c r="D164" s="7" t="n"/>
      <c r="E164" s="12" t="inlineStr">
        <is>
          <t>160g*48袋/件</t>
        </is>
      </c>
      <c r="F164" s="26" t="n">
        <v>160</v>
      </c>
      <c r="G164" s="187" t="n">
        <v>6</v>
      </c>
      <c r="H164" s="57" t="inlineStr">
        <is>
          <t>常温</t>
        </is>
      </c>
      <c r="I164" t="n">
        <v>1</v>
      </c>
      <c r="J164" t="n">
        <v>0.0375</v>
      </c>
      <c r="K164" s="28" t="n"/>
      <c r="L164" s="43" t="inlineStr">
        <is>
          <t>酱料</t>
        </is>
      </c>
      <c r="M164" s="57" t="inlineStr">
        <is>
          <t>√</t>
        </is>
      </c>
      <c r="N164" s="12" t="inlineStr">
        <is>
          <t>月付</t>
        </is>
      </c>
      <c r="O164" s="39" t="n"/>
      <c r="P164" s="39" t="n"/>
      <c r="Q164" s="39" t="n"/>
      <c r="R164" s="39" t="n"/>
      <c r="S164" s="39" t="n"/>
      <c r="T164" s="39" t="n"/>
      <c r="U164" s="39" t="n"/>
      <c r="V164" s="39" t="n"/>
      <c r="W164" s="39" t="n"/>
      <c r="X164" s="39" t="n"/>
    </row>
    <row r="165" ht="17.6" customHeight="1" s="170">
      <c r="A165" s="43" t="inlineStr">
        <is>
          <t>酱料</t>
        </is>
      </c>
      <c r="B165" s="52" t="inlineStr">
        <is>
          <t>香辣包</t>
        </is>
      </c>
      <c r="C165" s="52" t="inlineStr">
        <is>
          <t>集采</t>
        </is>
      </c>
      <c r="D165" s="7" t="n"/>
      <c r="E165" s="7" t="n"/>
      <c r="F165" s="26" t="n">
        <v>150</v>
      </c>
      <c r="G165" s="187" t="n">
        <v>2.5</v>
      </c>
      <c r="H165" s="74" t="inlineStr">
        <is>
          <t>常温</t>
        </is>
      </c>
      <c r="I165" t="n">
        <v>1</v>
      </c>
      <c r="J165" t="n">
        <v>0.016667</v>
      </c>
      <c r="K165" s="28" t="n"/>
      <c r="L165" s="43" t="inlineStr">
        <is>
          <t>酱料</t>
        </is>
      </c>
      <c r="M165" s="57" t="inlineStr">
        <is>
          <t>√</t>
        </is>
      </c>
      <c r="N165" s="12" t="inlineStr">
        <is>
          <t>月付</t>
        </is>
      </c>
      <c r="O165" s="39" t="n"/>
      <c r="P165" s="39" t="n"/>
      <c r="Q165" s="39" t="n"/>
      <c r="R165" s="39" t="n"/>
      <c r="S165" s="39" t="n"/>
      <c r="T165" s="39" t="n"/>
      <c r="U165" s="39" t="n"/>
      <c r="V165" s="39" t="n"/>
      <c r="W165" s="39" t="n"/>
      <c r="X165" s="39" t="n"/>
    </row>
    <row r="166" ht="17.6" customHeight="1" s="170">
      <c r="A166" s="45" t="inlineStr">
        <is>
          <t>糖水铺</t>
        </is>
      </c>
      <c r="B166" s="52" t="inlineStr">
        <is>
          <t>果葡糖浆</t>
        </is>
      </c>
      <c r="C166" s="12" t="inlineStr">
        <is>
          <t>集采</t>
        </is>
      </c>
      <c r="D166" s="7" t="n"/>
      <c r="E166" s="56" t="inlineStr">
        <is>
          <t>2.5kg*6桶</t>
        </is>
      </c>
      <c r="F166" s="26" t="n">
        <v>2500</v>
      </c>
      <c r="G166" s="187" t="n">
        <v>20</v>
      </c>
      <c r="H166" s="28" t="n"/>
      <c r="I166" t="n">
        <v>1</v>
      </c>
      <c r="J166" t="n">
        <v>0.008</v>
      </c>
      <c r="K166" s="28" t="n"/>
      <c r="L166" s="45" t="inlineStr">
        <is>
          <t>糖水铺</t>
        </is>
      </c>
      <c r="M166" s="57" t="inlineStr">
        <is>
          <t>√</t>
        </is>
      </c>
      <c r="N166" s="12" t="inlineStr">
        <is>
          <t>月付</t>
        </is>
      </c>
      <c r="O166" s="39" t="n"/>
      <c r="P166" s="39" t="n"/>
      <c r="Q166" s="39" t="n"/>
      <c r="R166" s="39" t="n"/>
      <c r="S166" s="39" t="n"/>
      <c r="T166" s="39" t="n"/>
      <c r="U166" s="39" t="n"/>
      <c r="V166" s="39" t="n"/>
      <c r="W166" s="39" t="n"/>
      <c r="X166" s="39" t="n"/>
    </row>
    <row r="167" ht="17.6" customHeight="1" s="170">
      <c r="A167" s="45" t="inlineStr">
        <is>
          <t>糖水铺</t>
        </is>
      </c>
      <c r="B167" s="52" t="inlineStr">
        <is>
          <t>薏仁罐头</t>
        </is>
      </c>
      <c r="C167" s="12" t="inlineStr">
        <is>
          <t>集采</t>
        </is>
      </c>
      <c r="D167" s="7" t="n"/>
      <c r="E167" s="52" t="inlineStr">
        <is>
          <t>900g/罐</t>
        </is>
      </c>
      <c r="F167" s="26" t="n">
        <v>900</v>
      </c>
      <c r="G167" s="187" t="n">
        <v>15</v>
      </c>
      <c r="H167" s="52" t="inlineStr">
        <is>
          <t>常温</t>
        </is>
      </c>
      <c r="I167" t="n">
        <v>1</v>
      </c>
      <c r="J167" t="n">
        <v>0.016667</v>
      </c>
      <c r="K167" s="28" t="inlineStr">
        <is>
          <t>开封冷藏</t>
        </is>
      </c>
      <c r="L167" s="45" t="inlineStr">
        <is>
          <t>糖水铺</t>
        </is>
      </c>
      <c r="M167" s="57" t="inlineStr">
        <is>
          <t>√</t>
        </is>
      </c>
      <c r="N167" s="12" t="inlineStr">
        <is>
          <t>月付</t>
        </is>
      </c>
      <c r="O167" s="39" t="n"/>
      <c r="P167" s="39" t="n"/>
      <c r="Q167" s="39" t="n"/>
      <c r="R167" s="39" t="n"/>
      <c r="S167" s="39" t="n"/>
      <c r="T167" s="39" t="n"/>
      <c r="U167" s="39" t="n"/>
      <c r="V167" s="39" t="n"/>
      <c r="W167" s="39" t="n"/>
      <c r="X167" s="39" t="n"/>
    </row>
    <row r="168" ht="17.6" customHeight="1" s="170">
      <c r="A168" s="45" t="inlineStr">
        <is>
          <t>糖水铺</t>
        </is>
      </c>
      <c r="B168" s="52" t="inlineStr">
        <is>
          <t>鸭屎香乌龙茶茶叶</t>
        </is>
      </c>
      <c r="C168" s="12" t="inlineStr">
        <is>
          <t>集采</t>
        </is>
      </c>
      <c r="D168" s="7" t="n"/>
      <c r="E168" s="52" t="inlineStr">
        <is>
          <t>300g/包</t>
        </is>
      </c>
      <c r="F168" s="26" t="n">
        <v>300</v>
      </c>
      <c r="G168" s="187" t="n">
        <v>29</v>
      </c>
      <c r="H168" s="52" t="inlineStr">
        <is>
          <t>常温</t>
        </is>
      </c>
      <c r="I168" t="n">
        <v>1</v>
      </c>
      <c r="J168" t="n">
        <v>0.096667</v>
      </c>
      <c r="K168" s="28" t="n"/>
      <c r="L168" s="45" t="inlineStr">
        <is>
          <t>糖水铺</t>
        </is>
      </c>
      <c r="M168" s="57" t="inlineStr">
        <is>
          <t>√</t>
        </is>
      </c>
      <c r="N168" s="12" t="inlineStr">
        <is>
          <t>月付</t>
        </is>
      </c>
      <c r="O168" s="39" t="n"/>
      <c r="P168" s="39" t="n"/>
      <c r="Q168" s="39" t="n"/>
      <c r="R168" s="39" t="n"/>
      <c r="S168" s="39" t="n"/>
      <c r="T168" s="39" t="n"/>
      <c r="U168" s="39" t="n"/>
      <c r="V168" s="39" t="n"/>
      <c r="W168" s="39" t="n"/>
      <c r="X168" s="39" t="n"/>
    </row>
    <row r="169" ht="17.6" customHeight="1" s="170">
      <c r="A169" s="91" t="inlineStr">
        <is>
          <t>糖水铺</t>
        </is>
      </c>
      <c r="B169" s="52" t="inlineStr">
        <is>
          <t>山茶花乌龙茶</t>
        </is>
      </c>
      <c r="C169" s="46" t="inlineStr">
        <is>
          <t>集采</t>
        </is>
      </c>
      <c r="D169" s="7" t="n"/>
      <c r="E169" s="52" t="inlineStr">
        <is>
          <t>300g/包*30包/箱</t>
        </is>
      </c>
      <c r="F169" s="26" t="n">
        <v>300</v>
      </c>
      <c r="G169" s="187" t="n">
        <v>45</v>
      </c>
      <c r="H169" s="52" t="inlineStr">
        <is>
          <t>常温</t>
        </is>
      </c>
      <c r="I169" t="n">
        <v>1</v>
      </c>
      <c r="J169" t="n">
        <v>0.15</v>
      </c>
      <c r="K169" s="28" t="n"/>
      <c r="L169" s="91" t="inlineStr">
        <is>
          <t>糖水铺</t>
        </is>
      </c>
      <c r="M169" s="57" t="inlineStr">
        <is>
          <t>√</t>
        </is>
      </c>
      <c r="N169" s="12" t="inlineStr">
        <is>
          <t>月付</t>
        </is>
      </c>
      <c r="O169" s="39" t="n"/>
      <c r="P169" s="39" t="n"/>
      <c r="Q169" s="39" t="n"/>
      <c r="R169" s="39" t="n"/>
      <c r="S169" s="39" t="n"/>
      <c r="T169" s="39" t="n"/>
      <c r="U169" s="39" t="n"/>
      <c r="V169" s="39" t="n"/>
      <c r="W169" s="39" t="n"/>
      <c r="X169" s="39" t="n"/>
    </row>
    <row r="170" ht="17.6" customHeight="1" s="170">
      <c r="A170" s="91" t="inlineStr">
        <is>
          <t>糖水铺</t>
        </is>
      </c>
      <c r="B170" s="52" t="inlineStr">
        <is>
          <t>五指毛桃茶包</t>
        </is>
      </c>
      <c r="C170" s="12" t="inlineStr">
        <is>
          <t>集采</t>
        </is>
      </c>
      <c r="D170" s="7" t="n"/>
      <c r="E170" s="52" t="inlineStr">
        <is>
          <t>8g/泡*50泡/包*20包/箱</t>
        </is>
      </c>
      <c r="F170" s="26" t="n">
        <v>1</v>
      </c>
      <c r="G170" s="187">
        <f>45/50</f>
        <v/>
      </c>
      <c r="H170" s="52" t="inlineStr">
        <is>
          <t>常温</t>
        </is>
      </c>
      <c r="I170" t="n">
        <v>1</v>
      </c>
      <c r="K170" s="35" t="inlineStr">
        <is>
          <t>单位：包</t>
        </is>
      </c>
      <c r="L170" s="91" t="inlineStr">
        <is>
          <t>糖水铺</t>
        </is>
      </c>
      <c r="M170" s="57" t="inlineStr">
        <is>
          <t>√</t>
        </is>
      </c>
      <c r="N170" s="12" t="inlineStr">
        <is>
          <t>月付</t>
        </is>
      </c>
      <c r="O170" s="40" t="inlineStr">
        <is>
          <t>45元/包</t>
        </is>
      </c>
      <c r="P170" s="39" t="n"/>
      <c r="Q170" s="39" t="n"/>
      <c r="R170" s="39" t="n"/>
      <c r="S170" s="39" t="n"/>
      <c r="T170" s="39" t="n"/>
      <c r="U170" s="39" t="n"/>
      <c r="V170" s="39" t="n"/>
      <c r="W170" s="39" t="n"/>
      <c r="X170" s="39" t="n"/>
    </row>
    <row r="171" ht="17.6" customHeight="1" s="170">
      <c r="A171" s="5" t="inlineStr">
        <is>
          <t>干杂</t>
        </is>
      </c>
      <c r="B171" s="52" t="inlineStr">
        <is>
          <t>家乐柠檬粉</t>
        </is>
      </c>
      <c r="C171" s="12" t="inlineStr">
        <is>
          <t>9.泓泰商贸</t>
        </is>
      </c>
      <c r="D171" s="52" t="inlineStr">
        <is>
          <t>家乐</t>
        </is>
      </c>
      <c r="E171" s="52" t="inlineStr">
        <is>
          <t>400g/袋</t>
        </is>
      </c>
      <c r="F171" s="26" t="n">
        <v>400</v>
      </c>
      <c r="G171" s="187" t="n">
        <v>17</v>
      </c>
      <c r="H171" s="57" t="inlineStr">
        <is>
          <t>常温</t>
        </is>
      </c>
      <c r="I171" t="n">
        <v>1</v>
      </c>
      <c r="J171" t="n">
        <v>0.0425</v>
      </c>
      <c r="K171" s="28" t="n"/>
      <c r="L171" s="5" t="inlineStr">
        <is>
          <t>干杂</t>
        </is>
      </c>
      <c r="M171" s="57" t="n"/>
      <c r="N171" s="12" t="inlineStr">
        <is>
          <t>货到付款</t>
        </is>
      </c>
      <c r="O171" s="39" t="n"/>
      <c r="P171" s="39" t="n"/>
      <c r="Q171" s="39" t="n"/>
      <c r="R171" s="39" t="n"/>
      <c r="S171" s="39" t="n"/>
      <c r="T171" s="39" t="n"/>
      <c r="U171" s="39" t="n"/>
      <c r="V171" s="39" t="n"/>
      <c r="W171" s="39" t="n"/>
      <c r="X171" s="39" t="n"/>
    </row>
    <row r="172" ht="17.6" customHeight="1" s="170">
      <c r="A172" s="5" t="inlineStr">
        <is>
          <t>干杂</t>
        </is>
      </c>
      <c r="B172" s="52" t="inlineStr">
        <is>
          <t>泰船味露</t>
        </is>
      </c>
      <c r="C172" s="12" t="inlineStr">
        <is>
          <t>9.泓泰商贸</t>
        </is>
      </c>
      <c r="D172" s="52" t="inlineStr">
        <is>
          <t>味露</t>
        </is>
      </c>
      <c r="E172" s="52" t="inlineStr">
        <is>
          <t>4.5L/桶</t>
        </is>
      </c>
      <c r="F172" s="26" t="n">
        <v>4500</v>
      </c>
      <c r="G172" s="187" t="n">
        <v>56.25</v>
      </c>
      <c r="H172" s="57" t="inlineStr">
        <is>
          <t>常温</t>
        </is>
      </c>
      <c r="I172" t="n">
        <v>1</v>
      </c>
      <c r="J172" t="n">
        <v>0.0125</v>
      </c>
      <c r="K172" s="28" t="n"/>
      <c r="L172" s="5" t="inlineStr">
        <is>
          <t>干杂</t>
        </is>
      </c>
      <c r="M172" s="57" t="n"/>
      <c r="N172" s="12" t="inlineStr">
        <is>
          <t>货到付款</t>
        </is>
      </c>
      <c r="O172" s="39" t="n"/>
      <c r="P172" s="39" t="n"/>
      <c r="Q172" s="39" t="n"/>
      <c r="R172" s="39" t="n"/>
      <c r="S172" s="39" t="n"/>
      <c r="T172" s="39" t="n"/>
      <c r="U172" s="39" t="n"/>
      <c r="V172" s="39" t="n"/>
      <c r="W172" s="39" t="n"/>
      <c r="X172" s="39" t="n"/>
    </row>
    <row r="173" ht="17.6" customHeight="1" s="170">
      <c r="A173" s="5" t="inlineStr">
        <is>
          <t>干杂</t>
        </is>
      </c>
      <c r="B173" s="52" t="inlineStr">
        <is>
          <t>鱼露</t>
        </is>
      </c>
      <c r="C173" s="12" t="inlineStr">
        <is>
          <t>9.泓泰商贸</t>
        </is>
      </c>
      <c r="D173" s="7" t="n"/>
      <c r="E173" s="52" t="inlineStr">
        <is>
          <t>4.5L/桶</t>
        </is>
      </c>
      <c r="F173" s="26" t="n">
        <v>500</v>
      </c>
      <c r="G173" s="187">
        <f>56.25/4500*500</f>
        <v/>
      </c>
      <c r="H173" s="28" t="n"/>
      <c r="I173" t="n">
        <v>1</v>
      </c>
      <c r="K173" s="28" t="n"/>
      <c r="L173" s="5" t="inlineStr">
        <is>
          <t>干杂</t>
        </is>
      </c>
      <c r="M173" s="57" t="n"/>
      <c r="N173" s="12" t="inlineStr">
        <is>
          <t>货到付款</t>
        </is>
      </c>
      <c r="O173" s="39" t="n"/>
      <c r="P173" s="39" t="n"/>
      <c r="Q173" s="39" t="n"/>
      <c r="R173" s="39" t="n"/>
      <c r="S173" s="39" t="n"/>
      <c r="T173" s="39" t="n"/>
      <c r="U173" s="39" t="n"/>
      <c r="V173" s="39" t="n"/>
      <c r="W173" s="39" t="n"/>
      <c r="X173" s="39" t="n"/>
    </row>
    <row r="174" ht="17.6" customHeight="1" s="170">
      <c r="A174" s="5" t="inlineStr">
        <is>
          <t>干杂</t>
        </is>
      </c>
      <c r="B174" s="52" t="inlineStr">
        <is>
          <t>干香茅草</t>
        </is>
      </c>
      <c r="C174" s="12" t="inlineStr">
        <is>
          <t>10.干茅草、五指毛桃群</t>
        </is>
      </c>
      <c r="D174" s="7" t="n"/>
      <c r="E174" s="12" t="inlineStr">
        <is>
          <t>称重</t>
        </is>
      </c>
      <c r="F174" s="26" t="n">
        <v>500</v>
      </c>
      <c r="G174" s="187" t="n">
        <v>15</v>
      </c>
      <c r="H174" s="57" t="inlineStr">
        <is>
          <t>常温</t>
        </is>
      </c>
      <c r="I174" t="n">
        <v>1</v>
      </c>
      <c r="J174" t="n">
        <v>0.03</v>
      </c>
      <c r="K174" s="28" t="n"/>
      <c r="L174" s="5" t="inlineStr">
        <is>
          <t>干杂</t>
        </is>
      </c>
      <c r="M174" s="57" t="n"/>
      <c r="N174" s="12" t="inlineStr">
        <is>
          <t>货到付款</t>
        </is>
      </c>
      <c r="O174" s="39" t="n"/>
      <c r="P174" s="39" t="n"/>
      <c r="Q174" s="39" t="n"/>
      <c r="R174" s="39" t="n"/>
      <c r="S174" s="39" t="n"/>
      <c r="T174" s="39" t="n"/>
      <c r="U174" s="39" t="n"/>
      <c r="V174" s="39" t="n"/>
      <c r="W174" s="39" t="n"/>
      <c r="X174" s="39" t="n"/>
    </row>
    <row r="175" ht="17.6" customHeight="1" s="170">
      <c r="A175" s="91" t="inlineStr">
        <is>
          <t>干杂</t>
        </is>
      </c>
      <c r="B175" s="12" t="inlineStr">
        <is>
          <t>五指毛桃干</t>
        </is>
      </c>
      <c r="C175" s="12" t="inlineStr">
        <is>
          <t>干茅草、五指毛桃群</t>
        </is>
      </c>
      <c r="D175" s="7" t="n"/>
      <c r="E175" s="12" t="inlineStr">
        <is>
          <t>称重</t>
        </is>
      </c>
      <c r="F175" s="26" t="n">
        <v>500</v>
      </c>
      <c r="G175" s="187" t="n">
        <v>25</v>
      </c>
      <c r="H175" s="52" t="inlineStr">
        <is>
          <t>常温</t>
        </is>
      </c>
      <c r="I175" t="n">
        <v>1</v>
      </c>
      <c r="J175" t="n">
        <v>0.04</v>
      </c>
      <c r="K175" s="28" t="n"/>
      <c r="L175" s="91" t="inlineStr">
        <is>
          <t>干杂</t>
        </is>
      </c>
      <c r="M175" s="49" t="n"/>
      <c r="N175" s="12" t="inlineStr">
        <is>
          <t>货到付款</t>
        </is>
      </c>
      <c r="O175" s="39" t="n"/>
      <c r="P175" s="39" t="n"/>
      <c r="Q175" s="39" t="n"/>
      <c r="R175" s="39" t="n"/>
      <c r="S175" s="39" t="n"/>
      <c r="T175" s="39" t="n"/>
      <c r="U175" s="39" t="n"/>
      <c r="V175" s="39" t="n"/>
      <c r="W175" s="39" t="n"/>
      <c r="X175" s="39" t="n"/>
    </row>
    <row r="176" ht="17.6" customHeight="1" s="170">
      <c r="A176" s="5" t="inlineStr">
        <is>
          <t>蔬菜</t>
        </is>
      </c>
      <c r="B176" s="52" t="inlineStr">
        <is>
          <t>黄瓜花</t>
        </is>
      </c>
      <c r="C176" s="12" t="inlineStr">
        <is>
          <t>2.成都蔬菜</t>
        </is>
      </c>
      <c r="D176" s="52" t="inlineStr">
        <is>
          <t>罗鑫</t>
        </is>
      </c>
      <c r="E176" s="12" t="inlineStr">
        <is>
          <t>称重</t>
        </is>
      </c>
      <c r="F176" s="32" t="n">
        <v>500</v>
      </c>
      <c r="G176" s="187" t="n">
        <v>35</v>
      </c>
      <c r="H176" s="57" t="inlineStr">
        <is>
          <t>冷藏</t>
        </is>
      </c>
      <c r="I176" t="n">
        <v>0.9</v>
      </c>
      <c r="J176" t="n">
        <v>0.07000000000000001</v>
      </c>
      <c r="K176" s="28" t="n"/>
      <c r="L176" s="5" t="inlineStr">
        <is>
          <t>蔬菜</t>
        </is>
      </c>
      <c r="M176" s="49" t="n"/>
      <c r="N176" s="12" t="inlineStr">
        <is>
          <t>月付</t>
        </is>
      </c>
      <c r="O176" s="39" t="n"/>
      <c r="P176" s="39" t="n"/>
      <c r="Q176" s="39" t="n"/>
      <c r="R176" s="39" t="n"/>
      <c r="S176" s="39" t="n"/>
      <c r="T176" s="39" t="n"/>
      <c r="U176" s="39" t="n"/>
      <c r="V176" s="39" t="n"/>
      <c r="W176" s="39" t="n"/>
      <c r="X176" s="39" t="n"/>
    </row>
    <row r="177" ht="17.6" customHeight="1" s="170">
      <c r="A177" s="5" t="inlineStr">
        <is>
          <t>蔬菜</t>
        </is>
      </c>
      <c r="B177" s="52" t="inlineStr">
        <is>
          <t>豌豆尖</t>
        </is>
      </c>
      <c r="C177" s="12" t="inlineStr">
        <is>
          <t>2.成都蔬菜</t>
        </is>
      </c>
      <c r="D177" s="52" t="inlineStr">
        <is>
          <t>罗鑫</t>
        </is>
      </c>
      <c r="E177" s="12" t="inlineStr">
        <is>
          <t>称重</t>
        </is>
      </c>
      <c r="F177" s="32" t="n">
        <v>500</v>
      </c>
      <c r="G177" s="187" t="n">
        <v>10</v>
      </c>
      <c r="H177" s="57" t="inlineStr">
        <is>
          <t>冷藏</t>
        </is>
      </c>
      <c r="I177" t="n">
        <v>0.7</v>
      </c>
      <c r="J177" t="n">
        <v>0.022</v>
      </c>
      <c r="K177" s="28" t="n"/>
      <c r="L177" s="5" t="inlineStr">
        <is>
          <t>蔬菜</t>
        </is>
      </c>
      <c r="M177" s="57" t="n"/>
      <c r="N177" s="12" t="inlineStr">
        <is>
          <t>月付</t>
        </is>
      </c>
      <c r="O177" s="39" t="n"/>
      <c r="P177" s="39" t="n"/>
      <c r="Q177" s="39" t="n"/>
      <c r="R177" s="39" t="n"/>
      <c r="S177" s="39" t="n"/>
      <c r="T177" s="39" t="n"/>
      <c r="U177" s="39" t="n"/>
      <c r="V177" s="39" t="n"/>
      <c r="W177" s="39" t="n"/>
      <c r="X177" s="39" t="n"/>
    </row>
    <row r="178" ht="17.6" customHeight="1" s="170">
      <c r="A178" s="5" t="inlineStr">
        <is>
          <t>蔬菜</t>
        </is>
      </c>
      <c r="B178" s="52" t="inlineStr">
        <is>
          <t>波斯草</t>
        </is>
      </c>
      <c r="C178" s="12" t="inlineStr">
        <is>
          <t>2.成都蔬菜</t>
        </is>
      </c>
      <c r="D178" s="52" t="inlineStr">
        <is>
          <t>罗鑫</t>
        </is>
      </c>
      <c r="E178" s="12" t="inlineStr">
        <is>
          <t>称重</t>
        </is>
      </c>
      <c r="F178" s="26" t="n"/>
      <c r="G178" s="187" t="n"/>
      <c r="H178" s="57" t="inlineStr">
        <is>
          <t>冷藏</t>
        </is>
      </c>
      <c r="I178" t="n">
        <v>1</v>
      </c>
      <c r="K178" s="28" t="n"/>
      <c r="L178" s="5" t="inlineStr">
        <is>
          <t>蔬菜</t>
        </is>
      </c>
      <c r="M178" s="57" t="n"/>
      <c r="N178" s="12" t="inlineStr">
        <is>
          <t>月付</t>
        </is>
      </c>
      <c r="O178" s="39" t="n"/>
      <c r="P178" s="39" t="n"/>
      <c r="Q178" s="39" t="n"/>
      <c r="R178" s="39" t="n"/>
      <c r="S178" s="39" t="n"/>
      <c r="T178" s="39" t="n"/>
      <c r="U178" s="39" t="n"/>
      <c r="V178" s="39" t="n"/>
      <c r="W178" s="39" t="n"/>
      <c r="X178" s="39" t="n"/>
    </row>
    <row r="179" ht="17.6" customHeight="1" s="170">
      <c r="A179" s="5" t="inlineStr">
        <is>
          <t>蔬菜</t>
        </is>
      </c>
      <c r="B179" s="52" t="inlineStr">
        <is>
          <t>甜菊</t>
        </is>
      </c>
      <c r="C179" s="12" t="inlineStr">
        <is>
          <t>2.成都蔬菜</t>
        </is>
      </c>
      <c r="D179" s="52" t="inlineStr">
        <is>
          <t>罗鑫</t>
        </is>
      </c>
      <c r="E179" s="12" t="inlineStr">
        <is>
          <t>称重</t>
        </is>
      </c>
      <c r="F179" s="26" t="n">
        <v>1</v>
      </c>
      <c r="G179" s="187">
        <f>8/37</f>
        <v/>
      </c>
      <c r="H179" s="57" t="inlineStr">
        <is>
          <t>冷藏</t>
        </is>
      </c>
      <c r="I179" t="n">
        <v>0.3</v>
      </c>
      <c r="K179" s="28" t="inlineStr">
        <is>
          <t>8元/支</t>
        </is>
      </c>
      <c r="L179" s="5" t="inlineStr">
        <is>
          <t>蔬菜</t>
        </is>
      </c>
      <c r="M179" s="49" t="n"/>
      <c r="N179" s="12" t="inlineStr">
        <is>
          <t>月付</t>
        </is>
      </c>
      <c r="O179" s="39" t="n"/>
      <c r="P179" s="39" t="n"/>
      <c r="Q179" s="39" t="n"/>
      <c r="R179" s="39" t="n"/>
      <c r="S179" s="39" t="n"/>
      <c r="T179" s="39" t="n"/>
      <c r="U179" s="39" t="n"/>
      <c r="V179" s="39" t="n"/>
      <c r="W179" s="39" t="n"/>
      <c r="X179" s="39" t="n"/>
    </row>
    <row r="180" ht="17.6" customHeight="1" s="170">
      <c r="A180" s="5" t="inlineStr">
        <is>
          <t>蔬菜</t>
        </is>
      </c>
      <c r="B180" s="52" t="inlineStr">
        <is>
          <t>甜笋</t>
        </is>
      </c>
      <c r="C180" s="12" t="inlineStr">
        <is>
          <t>2.成都蔬菜</t>
        </is>
      </c>
      <c r="D180" s="52" t="inlineStr">
        <is>
          <t>罗鑫</t>
        </is>
      </c>
      <c r="E180" s="12" t="inlineStr">
        <is>
          <t>称重</t>
        </is>
      </c>
      <c r="F180" s="26" t="n">
        <v>500</v>
      </c>
      <c r="G180" s="187" t="n">
        <v>12</v>
      </c>
      <c r="H180" s="57" t="inlineStr">
        <is>
          <t>冷藏</t>
        </is>
      </c>
      <c r="I180" t="n">
        <v>0.9</v>
      </c>
      <c r="J180" t="n">
        <v>0.024</v>
      </c>
      <c r="K180" s="28" t="n"/>
      <c r="L180" s="5" t="inlineStr">
        <is>
          <t>蔬菜</t>
        </is>
      </c>
      <c r="M180" s="49" t="n"/>
      <c r="N180" s="12" t="inlineStr">
        <is>
          <t>月付</t>
        </is>
      </c>
      <c r="O180" s="39" t="n"/>
      <c r="P180" s="39" t="n"/>
      <c r="Q180" s="39" t="n"/>
      <c r="R180" s="39" t="n"/>
      <c r="S180" s="39" t="n"/>
      <c r="T180" s="39" t="n"/>
      <c r="U180" s="39" t="n"/>
      <c r="V180" s="39" t="n"/>
      <c r="W180" s="39" t="n"/>
      <c r="X180" s="39" t="n"/>
    </row>
    <row r="181" ht="17.6" customHeight="1" s="170">
      <c r="A181" s="5" t="inlineStr">
        <is>
          <t>肉类</t>
        </is>
      </c>
      <c r="B181" s="52" t="inlineStr">
        <is>
          <t>吊龙</t>
        </is>
      </c>
      <c r="C181" s="12" t="inlineStr">
        <is>
          <t>1.成都牛肉供货商</t>
        </is>
      </c>
      <c r="D181" s="7" t="n"/>
      <c r="E181" s="12" t="inlineStr">
        <is>
          <t>称重</t>
        </is>
      </c>
      <c r="F181" s="26" t="n">
        <v>500</v>
      </c>
      <c r="G181" s="187" t="n">
        <v>52</v>
      </c>
      <c r="H181" s="57" t="inlineStr">
        <is>
          <t>冷藏</t>
        </is>
      </c>
      <c r="I181" t="n">
        <v>0.9</v>
      </c>
      <c r="J181" t="n">
        <v>0.104</v>
      </c>
      <c r="K181" s="28" t="inlineStr">
        <is>
          <t>去头去尾精吊龙</t>
        </is>
      </c>
      <c r="L181" s="5" t="inlineStr">
        <is>
          <t>肉类</t>
        </is>
      </c>
      <c r="M181" s="57" t="n"/>
      <c r="N181" s="12" t="inlineStr">
        <is>
          <t>货到付款</t>
        </is>
      </c>
      <c r="O181" s="39" t="n"/>
      <c r="P181" s="39" t="n"/>
      <c r="Q181" s="39" t="n"/>
      <c r="R181" s="39" t="n"/>
      <c r="S181" s="39" t="n"/>
      <c r="T181" s="39" t="n"/>
      <c r="U181" s="39" t="n"/>
      <c r="V181" s="39" t="n"/>
      <c r="W181" s="39" t="n"/>
      <c r="X181" s="39" t="n"/>
    </row>
    <row r="182" ht="17.6" customHeight="1" s="170">
      <c r="A182" s="5" t="inlineStr">
        <is>
          <t>肉类</t>
        </is>
      </c>
      <c r="B182" s="52" t="inlineStr">
        <is>
          <t>匙仁</t>
        </is>
      </c>
      <c r="C182" s="12" t="inlineStr">
        <is>
          <t>1.成都牛肉供货商</t>
        </is>
      </c>
      <c r="D182" s="7" t="n"/>
      <c r="E182" s="12" t="inlineStr">
        <is>
          <t>称重</t>
        </is>
      </c>
      <c r="F182" s="26" t="n">
        <v>500</v>
      </c>
      <c r="G182" s="187" t="n">
        <v>46</v>
      </c>
      <c r="H182" s="57" t="inlineStr">
        <is>
          <t>冷藏</t>
        </is>
      </c>
      <c r="I182" t="n">
        <v>0.9</v>
      </c>
      <c r="J182" t="n">
        <v>0.092</v>
      </c>
      <c r="K182" s="28" t="n"/>
      <c r="L182" s="5" t="inlineStr">
        <is>
          <t>肉类</t>
        </is>
      </c>
      <c r="M182" s="49" t="n"/>
      <c r="N182" s="12" t="inlineStr">
        <is>
          <t>货到付款</t>
        </is>
      </c>
      <c r="O182" s="39" t="n"/>
      <c r="P182" s="39" t="n"/>
      <c r="Q182" s="39" t="n"/>
      <c r="R182" s="39" t="n"/>
      <c r="S182" s="39" t="n"/>
      <c r="T182" s="39" t="n"/>
      <c r="U182" s="39" t="n"/>
      <c r="V182" s="39" t="n"/>
      <c r="W182" s="39" t="n"/>
      <c r="X182" s="39" t="n"/>
    </row>
    <row r="183" ht="17.6" customHeight="1" s="170">
      <c r="A183" s="5" t="inlineStr">
        <is>
          <t>肉类</t>
        </is>
      </c>
      <c r="B183" s="52" t="inlineStr">
        <is>
          <t>胸口油</t>
        </is>
      </c>
      <c r="C183" s="12" t="inlineStr">
        <is>
          <t>1.成都牛肉供货商</t>
        </is>
      </c>
      <c r="D183" s="53" t="n"/>
      <c r="E183" s="12" t="inlineStr">
        <is>
          <t>称重</t>
        </is>
      </c>
      <c r="F183" s="26" t="n">
        <v>500</v>
      </c>
      <c r="G183" s="187" t="n">
        <v>52</v>
      </c>
      <c r="H183" s="57" t="inlineStr">
        <is>
          <t>冷藏</t>
        </is>
      </c>
      <c r="I183" t="n">
        <v>0.7</v>
      </c>
      <c r="J183" t="n">
        <v>0.104</v>
      </c>
      <c r="K183" s="59" t="inlineStr">
        <is>
          <t>精修</t>
        </is>
      </c>
      <c r="L183" s="5" t="inlineStr">
        <is>
          <t>肉类</t>
        </is>
      </c>
      <c r="M183" s="49" t="n"/>
      <c r="N183" s="12" t="inlineStr">
        <is>
          <t>货到付款</t>
        </is>
      </c>
      <c r="O183" s="39" t="n"/>
      <c r="P183" s="39" t="n"/>
      <c r="Q183" s="39" t="n"/>
      <c r="R183" s="39" t="n"/>
      <c r="S183" s="39" t="n"/>
      <c r="T183" s="39" t="n"/>
      <c r="U183" s="39" t="n"/>
      <c r="V183" s="39" t="n"/>
      <c r="W183" s="39" t="n"/>
      <c r="X183" s="39" t="n"/>
    </row>
    <row r="184" ht="17.6" customHeight="1" s="170">
      <c r="A184" s="5" t="inlineStr">
        <is>
          <t>肉类</t>
        </is>
      </c>
      <c r="B184" s="52" t="inlineStr">
        <is>
          <t>五花腱</t>
        </is>
      </c>
      <c r="C184" s="12" t="inlineStr">
        <is>
          <t>1.成都牛肉供货商</t>
        </is>
      </c>
      <c r="D184" s="7" t="n"/>
      <c r="E184" s="12" t="inlineStr">
        <is>
          <t>称重</t>
        </is>
      </c>
      <c r="F184" s="26" t="n">
        <v>500</v>
      </c>
      <c r="G184" s="187" t="n">
        <v>45</v>
      </c>
      <c r="H184" s="57" t="inlineStr">
        <is>
          <t>冷藏</t>
        </is>
      </c>
      <c r="I184" t="n">
        <v>0.9</v>
      </c>
      <c r="J184" t="n">
        <v>0.09</v>
      </c>
      <c r="K184" s="59" t="inlineStr">
        <is>
          <t>精修</t>
        </is>
      </c>
      <c r="L184" s="5" t="inlineStr">
        <is>
          <t>肉类</t>
        </is>
      </c>
      <c r="M184" s="57" t="n"/>
      <c r="N184" s="12" t="inlineStr">
        <is>
          <t>货到付款</t>
        </is>
      </c>
      <c r="O184" s="39" t="n"/>
      <c r="P184" s="39" t="n"/>
      <c r="Q184" s="39" t="n"/>
      <c r="R184" s="39" t="n"/>
      <c r="S184" s="39" t="n"/>
      <c r="T184" s="39" t="n"/>
      <c r="U184" s="39" t="n"/>
      <c r="V184" s="39" t="n"/>
      <c r="W184" s="39" t="n"/>
      <c r="X184" s="39" t="n"/>
    </row>
    <row r="185" ht="17.6" customHeight="1" s="170">
      <c r="A185" s="91" t="inlineStr">
        <is>
          <t>蔬菜</t>
        </is>
      </c>
      <c r="B185" s="12" t="inlineStr">
        <is>
          <t>香水柠檬</t>
        </is>
      </c>
      <c r="C185" s="12" t="inlineStr">
        <is>
          <t>2.绵阳蔬菜</t>
        </is>
      </c>
      <c r="D185" s="57" t="n"/>
      <c r="E185" s="12" t="inlineStr">
        <is>
          <t>称重</t>
        </is>
      </c>
      <c r="F185" s="26" t="n">
        <v>500</v>
      </c>
      <c r="G185" s="187" t="n">
        <v>9</v>
      </c>
      <c r="H185" s="28" t="n"/>
      <c r="I185" t="n">
        <v>1</v>
      </c>
      <c r="J185" t="n">
        <v>0.018</v>
      </c>
      <c r="K185" s="28" t="n"/>
      <c r="L185" s="91" t="inlineStr">
        <is>
          <t>蔬菜</t>
        </is>
      </c>
      <c r="M185" s="57" t="n"/>
      <c r="N185" s="12" t="inlineStr">
        <is>
          <t>网采</t>
        </is>
      </c>
      <c r="O185" s="39" t="n"/>
      <c r="P185" s="39" t="n"/>
      <c r="Q185" s="39" t="n"/>
      <c r="R185" s="39" t="n"/>
      <c r="S185" s="39" t="n"/>
      <c r="T185" s="39" t="n"/>
      <c r="U185" s="39" t="n"/>
      <c r="V185" s="39" t="n"/>
      <c r="W185" s="39" t="n"/>
      <c r="X185" s="39" t="n"/>
    </row>
    <row r="186" ht="17.6" customHeight="1" s="170">
      <c r="A186" s="91" t="inlineStr">
        <is>
          <t>主食</t>
        </is>
      </c>
      <c r="B186" s="12" t="inlineStr">
        <is>
          <t>铁棍山药面</t>
        </is>
      </c>
      <c r="C186" s="12" t="inlineStr">
        <is>
          <t>网采</t>
        </is>
      </c>
      <c r="D186" s="57" t="n"/>
      <c r="E186" s="12" t="inlineStr">
        <is>
          <t>10斤</t>
        </is>
      </c>
      <c r="F186" s="26" t="n">
        <v>500</v>
      </c>
      <c r="G186" s="57">
        <f>95/10</f>
        <v/>
      </c>
      <c r="H186" s="12" t="inlineStr">
        <is>
          <t>常温</t>
        </is>
      </c>
      <c r="I186" t="n">
        <v>0.9</v>
      </c>
      <c r="K186" s="28" t="n"/>
      <c r="L186" s="91" t="inlineStr">
        <is>
          <t>主食</t>
        </is>
      </c>
      <c r="M186" s="57" t="n"/>
      <c r="N186" s="12" t="inlineStr">
        <is>
          <t>网采</t>
        </is>
      </c>
      <c r="O186" s="39" t="n"/>
      <c r="P186" s="39" t="n"/>
      <c r="Q186" s="39" t="n"/>
      <c r="R186" s="39" t="n"/>
      <c r="S186" s="39" t="n"/>
      <c r="T186" s="39" t="n"/>
      <c r="U186" s="39" t="n"/>
      <c r="V186" s="39" t="n"/>
      <c r="W186" s="39" t="n"/>
      <c r="X186" s="39" t="n"/>
    </row>
    <row r="187" ht="17.6" customHeight="1" s="170">
      <c r="A187" s="91" t="inlineStr">
        <is>
          <t>肉类</t>
        </is>
      </c>
      <c r="B187" s="12" t="inlineStr">
        <is>
          <t>带皮牛肉</t>
        </is>
      </c>
      <c r="C187" s="57" t="n"/>
      <c r="D187" s="57" t="n"/>
      <c r="E187" s="12" t="inlineStr">
        <is>
          <t>150g/袋</t>
        </is>
      </c>
      <c r="F187" s="26" t="n">
        <v>500</v>
      </c>
      <c r="G187" s="58" t="n">
        <v>37.33</v>
      </c>
      <c r="H187" s="57" t="inlineStr">
        <is>
          <t>冷冻</t>
        </is>
      </c>
      <c r="I187" t="n">
        <v>1</v>
      </c>
      <c r="J187" t="n">
        <v>0.07466</v>
      </c>
      <c r="K187" s="28" t="n"/>
      <c r="L187" s="91" t="inlineStr">
        <is>
          <t>肉类</t>
        </is>
      </c>
      <c r="M187" s="57" t="n"/>
      <c r="N187" s="57" t="n"/>
      <c r="O187" s="39" t="n"/>
      <c r="P187" s="39" t="n"/>
      <c r="Q187" s="39" t="n"/>
      <c r="R187" s="39" t="n"/>
      <c r="S187" s="39" t="n"/>
      <c r="T187" s="39" t="n"/>
      <c r="U187" s="39" t="n"/>
      <c r="V187" s="39" t="n"/>
      <c r="W187" s="39" t="n"/>
      <c r="X187" s="39" t="n"/>
    </row>
    <row r="188" ht="17.6" customHeight="1" s="170">
      <c r="A188" s="5" t="inlineStr">
        <is>
          <t>干杂</t>
        </is>
      </c>
      <c r="B188" s="12" t="inlineStr">
        <is>
          <t>红枫叶</t>
        </is>
      </c>
      <c r="C188" s="12" t="inlineStr">
        <is>
          <t>网采</t>
        </is>
      </c>
      <c r="D188" s="57" t="n"/>
      <c r="E188" s="12" t="inlineStr">
        <is>
          <t>90张/35元</t>
        </is>
      </c>
      <c r="F188" s="26" t="n">
        <v>1</v>
      </c>
      <c r="G188" s="58">
        <f>35/90</f>
        <v/>
      </c>
      <c r="H188" s="28" t="n"/>
      <c r="I188" t="n">
        <v>1</v>
      </c>
      <c r="K188" s="35" t="inlineStr">
        <is>
          <t>单位：张</t>
        </is>
      </c>
      <c r="L188" s="91" t="inlineStr">
        <is>
          <t>蔬菜</t>
        </is>
      </c>
      <c r="M188" s="57" t="n"/>
      <c r="N188" s="12" t="inlineStr">
        <is>
          <t>网采</t>
        </is>
      </c>
      <c r="O188" s="39" t="n"/>
      <c r="P188" s="39" t="n"/>
      <c r="Q188" s="39" t="n"/>
      <c r="R188" s="39" t="n"/>
      <c r="S188" s="39" t="n"/>
      <c r="T188" s="39" t="n"/>
      <c r="U188" s="39" t="n"/>
      <c r="V188" s="39" t="n"/>
      <c r="W188" s="39" t="n"/>
      <c r="X188" s="39" t="n"/>
    </row>
    <row r="189" ht="17.6" customHeight="1" s="170">
      <c r="A189" s="91" t="inlineStr">
        <is>
          <t>海鲜</t>
        </is>
      </c>
      <c r="B189" s="12" t="inlineStr">
        <is>
          <t>花胶</t>
        </is>
      </c>
      <c r="C189" s="57" t="n"/>
      <c r="D189" s="57" t="n"/>
      <c r="E189" s="12" t="inlineStr">
        <is>
          <t>150g/袋*50袋</t>
        </is>
      </c>
      <c r="F189" s="26" t="n">
        <v>500</v>
      </c>
      <c r="G189" s="58" t="n">
        <v>43.33</v>
      </c>
      <c r="H189" s="28" t="n"/>
      <c r="I189" t="n">
        <v>0.9</v>
      </c>
      <c r="J189" t="n">
        <v>0.08666</v>
      </c>
      <c r="K189" s="28" t="n"/>
      <c r="L189" s="91" t="inlineStr">
        <is>
          <t>海鲜</t>
        </is>
      </c>
      <c r="M189" s="57" t="n"/>
      <c r="N189" s="57" t="n"/>
      <c r="O189" s="39" t="n"/>
      <c r="P189" s="39" t="n"/>
      <c r="Q189" s="39" t="n"/>
      <c r="R189" s="39" t="n"/>
      <c r="S189" s="39" t="n"/>
      <c r="T189" s="39" t="n"/>
      <c r="U189" s="39" t="n"/>
      <c r="V189" s="39" t="n"/>
      <c r="W189" s="39" t="n"/>
      <c r="X189" s="39" t="n"/>
    </row>
    <row r="190" ht="17.6" customHeight="1" s="170">
      <c r="A190" s="91" t="inlineStr">
        <is>
          <t>蔬菜</t>
        </is>
      </c>
      <c r="B190" s="12" t="inlineStr">
        <is>
          <t>豌豆尖</t>
        </is>
      </c>
      <c r="C190" s="12" t="inlineStr">
        <is>
          <t>2.成都蔬菜</t>
        </is>
      </c>
      <c r="D190" s="57" t="n"/>
      <c r="E190" s="12" t="inlineStr">
        <is>
          <t>称重</t>
        </is>
      </c>
      <c r="F190" s="26" t="n">
        <v>500</v>
      </c>
      <c r="G190" s="57" t="n">
        <v>10</v>
      </c>
      <c r="H190" s="28" t="n"/>
      <c r="I190" t="n">
        <v>0.7</v>
      </c>
      <c r="J190" t="n">
        <v>0.022</v>
      </c>
      <c r="K190" s="28" t="n"/>
      <c r="L190" s="91" t="inlineStr">
        <is>
          <t>蔬菜</t>
        </is>
      </c>
      <c r="M190" s="57" t="n"/>
      <c r="N190" s="57" t="n"/>
      <c r="O190" s="39" t="n"/>
      <c r="P190" s="39" t="n"/>
      <c r="Q190" s="39" t="n"/>
      <c r="R190" s="39" t="n"/>
      <c r="S190" s="39" t="n"/>
      <c r="T190" s="39" t="n"/>
      <c r="U190" s="39" t="n"/>
      <c r="V190" s="39" t="n"/>
      <c r="W190" s="39" t="n"/>
      <c r="X190" s="39" t="n"/>
    </row>
    <row r="191" ht="17.6" customHeight="1" s="170">
      <c r="A191" s="93" t="n"/>
      <c r="B191" s="12" t="inlineStr">
        <is>
          <t>脆三丁</t>
        </is>
      </c>
      <c r="C191" s="57" t="n"/>
      <c r="D191" s="57" t="n"/>
      <c r="E191" s="12" t="inlineStr">
        <is>
          <t>称重</t>
        </is>
      </c>
      <c r="F191" s="26" t="n">
        <v>500</v>
      </c>
      <c r="G191" s="57" t="n">
        <v>35</v>
      </c>
      <c r="H191" s="28" t="n"/>
      <c r="I191" t="n">
        <v>1</v>
      </c>
      <c r="J191" t="n">
        <v>0.07000000000000001</v>
      </c>
      <c r="K191" s="28" t="n"/>
      <c r="L191" s="93" t="n"/>
      <c r="M191" s="57" t="n"/>
      <c r="N191" s="57" t="n"/>
      <c r="O191" s="39" t="n"/>
      <c r="P191" s="39" t="n"/>
      <c r="Q191" s="39" t="n"/>
      <c r="R191" s="39" t="n"/>
      <c r="S191" s="39" t="n"/>
      <c r="T191" s="39" t="n"/>
      <c r="U191" s="39" t="n"/>
      <c r="V191" s="39" t="n"/>
      <c r="W191" s="39" t="n"/>
      <c r="X191" s="39" t="n"/>
    </row>
    <row r="192" ht="17.6" customHeight="1" s="170">
      <c r="A192" s="91" t="inlineStr">
        <is>
          <t>肉类</t>
        </is>
      </c>
      <c r="B192" s="12" t="inlineStr">
        <is>
          <t>美肥</t>
        </is>
      </c>
      <c r="C192" s="12" t="inlineStr">
        <is>
          <t>1.成都牛肉供货商</t>
        </is>
      </c>
      <c r="D192" s="57" t="n"/>
      <c r="E192" s="12" t="inlineStr">
        <is>
          <t>称重</t>
        </is>
      </c>
      <c r="F192" s="26" t="n">
        <v>500</v>
      </c>
      <c r="G192" s="57" t="n">
        <v>45</v>
      </c>
      <c r="H192" s="28" t="n"/>
      <c r="I192" t="n">
        <v>0.85</v>
      </c>
      <c r="J192" t="n">
        <v>0.09</v>
      </c>
      <c r="K192" s="28" t="n"/>
      <c r="L192" s="91" t="inlineStr">
        <is>
          <t>肉类</t>
        </is>
      </c>
      <c r="M192" s="57" t="n"/>
      <c r="N192" s="57" t="n"/>
      <c r="O192" s="39" t="n"/>
      <c r="P192" s="39" t="n"/>
      <c r="Q192" s="39" t="n"/>
      <c r="R192" s="39" t="n"/>
      <c r="S192" s="39" t="n"/>
      <c r="T192" s="39" t="n"/>
      <c r="U192" s="39" t="n"/>
      <c r="V192" s="39" t="n"/>
      <c r="W192" s="39" t="n"/>
      <c r="X192" s="39" t="n"/>
    </row>
    <row r="193" ht="17.6" customHeight="1" s="170">
      <c r="A193" s="91" t="inlineStr">
        <is>
          <t>蔬菜</t>
        </is>
      </c>
      <c r="B193" s="57" t="inlineStr">
        <is>
          <t>油炸折耳根</t>
        </is>
      </c>
      <c r="C193" s="57" t="n"/>
      <c r="D193" s="57" t="n"/>
      <c r="E193" s="12" t="inlineStr">
        <is>
          <t>称重</t>
        </is>
      </c>
      <c r="F193" s="26" t="n">
        <v>500</v>
      </c>
      <c r="G193" s="57" t="n">
        <v>30</v>
      </c>
      <c r="H193" s="28" t="n"/>
      <c r="I193" t="n">
        <v>1</v>
      </c>
      <c r="J193" t="n">
        <v>0.06</v>
      </c>
      <c r="K193" s="28" t="n"/>
      <c r="L193" s="91" t="inlineStr">
        <is>
          <t>蔬菜</t>
        </is>
      </c>
      <c r="M193" s="57" t="n"/>
      <c r="N193" s="57" t="n"/>
      <c r="O193" s="39" t="n"/>
      <c r="P193" s="39" t="n"/>
      <c r="Q193" s="39" t="n"/>
      <c r="R193" s="39" t="n"/>
      <c r="S193" s="39" t="n"/>
      <c r="T193" s="39" t="n"/>
      <c r="U193" s="39" t="n"/>
      <c r="V193" s="39" t="n"/>
      <c r="W193" s="39" t="n"/>
      <c r="X193" s="39" t="n"/>
    </row>
    <row r="194" ht="17.6" customHeight="1" s="170">
      <c r="A194" s="91" t="inlineStr">
        <is>
          <t>蔬菜</t>
        </is>
      </c>
      <c r="B194" s="12" t="inlineStr">
        <is>
          <t>龙须菜</t>
        </is>
      </c>
      <c r="C194" s="12" t="inlineStr">
        <is>
          <t>2.绵阳蔬菜</t>
        </is>
      </c>
      <c r="D194" s="57" t="n"/>
      <c r="E194" s="12" t="inlineStr">
        <is>
          <t>称重</t>
        </is>
      </c>
      <c r="F194" s="26" t="n">
        <v>500</v>
      </c>
      <c r="G194" s="57" t="n">
        <v>11</v>
      </c>
      <c r="H194" s="12" t="inlineStr">
        <is>
          <t>冷藏</t>
        </is>
      </c>
      <c r="I194" t="n">
        <v>0.65</v>
      </c>
      <c r="J194" t="n">
        <v>0.022</v>
      </c>
      <c r="K194" s="28" t="n"/>
      <c r="L194" s="91" t="inlineStr">
        <is>
          <t>蔬菜</t>
        </is>
      </c>
      <c r="M194" s="57" t="n"/>
      <c r="N194" s="57" t="n"/>
      <c r="O194" s="39" t="n"/>
      <c r="P194" s="39" t="n"/>
      <c r="Q194" s="39" t="n"/>
      <c r="R194" s="39" t="n"/>
      <c r="S194" s="39" t="n"/>
      <c r="T194" s="39" t="n"/>
      <c r="U194" s="39" t="n"/>
      <c r="V194" s="39" t="n"/>
      <c r="W194" s="39" t="n"/>
      <c r="X194" s="39" t="n"/>
    </row>
    <row r="195" ht="17.6" customHeight="1" s="170">
      <c r="A195" s="91" t="inlineStr">
        <is>
          <t>蔬菜</t>
        </is>
      </c>
      <c r="B195" s="12" t="inlineStr">
        <is>
          <t>茼蒿</t>
        </is>
      </c>
      <c r="C195" s="12" t="inlineStr">
        <is>
          <t>2.绵阳蔬菜</t>
        </is>
      </c>
      <c r="D195" s="57" t="n"/>
      <c r="E195" s="12" t="inlineStr">
        <is>
          <t>称重</t>
        </is>
      </c>
      <c r="F195" s="26" t="n">
        <v>500</v>
      </c>
      <c r="G195" s="57" t="n">
        <v>6</v>
      </c>
      <c r="H195" s="12" t="inlineStr">
        <is>
          <t>冷藏</t>
        </is>
      </c>
      <c r="I195" t="n">
        <v>0.6</v>
      </c>
      <c r="J195" t="n">
        <v>0.012</v>
      </c>
      <c r="K195" s="28" t="n"/>
      <c r="L195" s="91" t="inlineStr">
        <is>
          <t>蔬菜</t>
        </is>
      </c>
      <c r="M195" s="57" t="n"/>
      <c r="N195" s="57" t="n"/>
      <c r="O195" s="39" t="n"/>
      <c r="P195" s="39" t="n"/>
      <c r="Q195" s="39" t="n"/>
      <c r="R195" s="39" t="n"/>
      <c r="S195" s="39" t="n"/>
      <c r="T195" s="39" t="n"/>
      <c r="U195" s="39" t="n"/>
      <c r="V195" s="39" t="n"/>
      <c r="W195" s="39" t="n"/>
      <c r="X195" s="39" t="n"/>
    </row>
    <row r="196" ht="17.6" customHeight="1" s="170">
      <c r="A196" s="91" t="inlineStr">
        <is>
          <t>蔬菜</t>
        </is>
      </c>
      <c r="B196" s="61" t="inlineStr">
        <is>
          <t>人参苗</t>
        </is>
      </c>
      <c r="C196" s="12" t="inlineStr">
        <is>
          <t>2.绵阳蔬菜</t>
        </is>
      </c>
      <c r="D196" s="57" t="n"/>
      <c r="E196" s="12" t="inlineStr">
        <is>
          <t>称重</t>
        </is>
      </c>
      <c r="F196" s="26" t="n">
        <v>500</v>
      </c>
      <c r="G196" s="57" t="n">
        <v>10</v>
      </c>
      <c r="H196" s="12" t="inlineStr">
        <is>
          <t>冷藏</t>
        </is>
      </c>
      <c r="I196" t="n">
        <v>0.85</v>
      </c>
      <c r="J196" t="n">
        <v>0.02</v>
      </c>
      <c r="K196" s="28" t="n"/>
      <c r="L196" s="91" t="inlineStr">
        <is>
          <t>蔬菜</t>
        </is>
      </c>
      <c r="M196" s="57" t="n"/>
      <c r="N196" s="57" t="n"/>
      <c r="O196" s="39" t="n"/>
      <c r="P196" s="39" t="n"/>
      <c r="Q196" s="39" t="n"/>
      <c r="R196" s="39" t="n"/>
      <c r="S196" s="39" t="n"/>
      <c r="T196" s="39" t="n"/>
      <c r="U196" s="39" t="n"/>
      <c r="V196" s="39" t="n"/>
      <c r="W196" s="39" t="n"/>
      <c r="X196" s="39" t="n"/>
    </row>
    <row r="197" ht="17.6" customHeight="1" s="170">
      <c r="A197" s="91" t="inlineStr">
        <is>
          <t>蔬菜</t>
        </is>
      </c>
      <c r="B197" s="62" t="inlineStr">
        <is>
          <t>紫白菜</t>
        </is>
      </c>
      <c r="C197" s="12" t="inlineStr">
        <is>
          <t>2.绵阳蔬菜</t>
        </is>
      </c>
      <c r="D197" s="57" t="n"/>
      <c r="E197" s="12" t="inlineStr">
        <is>
          <t>称重</t>
        </is>
      </c>
      <c r="F197" s="26" t="n">
        <v>500</v>
      </c>
      <c r="G197" s="57" t="n">
        <v>12</v>
      </c>
      <c r="H197" s="12" t="inlineStr">
        <is>
          <t>冷藏</t>
        </is>
      </c>
      <c r="I197" t="n">
        <v>0.66</v>
      </c>
      <c r="J197" t="n">
        <v>0.024</v>
      </c>
      <c r="K197" s="28" t="n"/>
      <c r="L197" s="91" t="inlineStr">
        <is>
          <t>蔬菜</t>
        </is>
      </c>
      <c r="M197" s="57" t="n"/>
      <c r="N197" s="57" t="n"/>
      <c r="O197" s="39" t="n"/>
      <c r="P197" s="39" t="n"/>
      <c r="Q197" s="39" t="n"/>
      <c r="R197" s="39" t="n"/>
      <c r="S197" s="39" t="n"/>
      <c r="T197" s="39" t="n"/>
      <c r="U197" s="39" t="n"/>
      <c r="V197" s="39" t="n"/>
      <c r="W197" s="39" t="n"/>
      <c r="X197" s="39" t="n"/>
    </row>
    <row r="198" ht="17.6" customHeight="1" s="170">
      <c r="A198" s="91" t="inlineStr">
        <is>
          <t>蔬菜</t>
        </is>
      </c>
      <c r="B198" s="63" t="inlineStr">
        <is>
          <t>黄苦菊</t>
        </is>
      </c>
      <c r="C198" s="12" t="inlineStr">
        <is>
          <t>2.绵阳蔬菜</t>
        </is>
      </c>
      <c r="D198" s="57" t="n"/>
      <c r="E198" s="12" t="inlineStr">
        <is>
          <t>称重</t>
        </is>
      </c>
      <c r="F198" s="26" t="n">
        <v>500</v>
      </c>
      <c r="G198" s="57" t="n">
        <v>12</v>
      </c>
      <c r="H198" s="28" t="n"/>
      <c r="I198" t="n">
        <v>0.7</v>
      </c>
      <c r="J198" t="n">
        <v>0.024</v>
      </c>
      <c r="K198" s="28" t="n"/>
      <c r="L198" s="91" t="inlineStr">
        <is>
          <t>蔬菜</t>
        </is>
      </c>
      <c r="M198" s="57" t="n"/>
      <c r="N198" s="57" t="n"/>
      <c r="O198" s="39" t="n"/>
      <c r="P198" s="39" t="n"/>
      <c r="Q198" s="39" t="n"/>
      <c r="R198" s="39" t="n"/>
      <c r="S198" s="39" t="n"/>
      <c r="T198" s="39" t="n"/>
      <c r="U198" s="39" t="n"/>
      <c r="V198" s="39" t="n"/>
      <c r="W198" s="39" t="n"/>
      <c r="X198" s="39" t="n"/>
    </row>
    <row r="199" ht="17.6" customHeight="1" s="170">
      <c r="A199" s="91" t="inlineStr">
        <is>
          <t>干杂</t>
        </is>
      </c>
      <c r="B199" s="64" t="inlineStr">
        <is>
          <t>小米渣</t>
        </is>
      </c>
      <c r="C199" s="12" t="inlineStr">
        <is>
          <t>网采</t>
        </is>
      </c>
      <c r="D199" s="72" t="n"/>
      <c r="E199" s="12" t="inlineStr">
        <is>
          <t>称重</t>
        </is>
      </c>
      <c r="F199" s="32" t="n">
        <v>400</v>
      </c>
      <c r="G199" s="57" t="n">
        <v>21.13</v>
      </c>
      <c r="H199" s="35" t="inlineStr">
        <is>
          <t>冷冻</t>
        </is>
      </c>
      <c r="I199" t="n">
        <v>1</v>
      </c>
      <c r="J199" t="n">
        <v>0.052825</v>
      </c>
      <c r="K199" s="28" t="n"/>
      <c r="L199" s="91" t="inlineStr">
        <is>
          <t>干杂</t>
        </is>
      </c>
      <c r="M199" s="57" t="n"/>
      <c r="N199" s="57" t="n"/>
      <c r="O199" s="39" t="n"/>
      <c r="P199" s="39" t="n"/>
      <c r="Q199" s="39" t="n"/>
      <c r="R199" s="39" t="n"/>
      <c r="S199" s="39" t="n"/>
      <c r="T199" s="39" t="n"/>
      <c r="U199" s="39" t="n"/>
      <c r="V199" s="39" t="n"/>
      <c r="W199" s="39" t="n"/>
      <c r="X199" s="39" t="n"/>
    </row>
    <row r="200" ht="17.6" customHeight="1" s="170">
      <c r="A200" s="91" t="inlineStr">
        <is>
          <t>干杂</t>
        </is>
      </c>
      <c r="B200" s="64" t="inlineStr">
        <is>
          <t>斑斓酱</t>
        </is>
      </c>
      <c r="C200" s="57" t="n"/>
      <c r="D200" s="57" t="n"/>
      <c r="E200" s="12" t="inlineStr">
        <is>
          <t>称重</t>
        </is>
      </c>
      <c r="F200" s="26" t="n">
        <v>500</v>
      </c>
      <c r="G200" s="57" t="n">
        <v>88</v>
      </c>
      <c r="H200" s="35" t="inlineStr">
        <is>
          <t>冷藏</t>
        </is>
      </c>
      <c r="I200" t="n">
        <v>1</v>
      </c>
      <c r="J200" t="n">
        <v>0.08400000000000001</v>
      </c>
      <c r="K200" s="28" t="n"/>
      <c r="L200" s="91" t="inlineStr">
        <is>
          <t>干杂</t>
        </is>
      </c>
      <c r="M200" s="57" t="n"/>
      <c r="N200" s="57" t="n"/>
      <c r="O200" s="39" t="n"/>
      <c r="P200" s="39" t="n"/>
      <c r="Q200" s="39" t="n"/>
      <c r="R200" s="39" t="n"/>
      <c r="S200" s="39" t="n"/>
      <c r="T200" s="39" t="n"/>
      <c r="U200" s="39" t="n"/>
      <c r="V200" s="39" t="n"/>
      <c r="W200" s="39" t="n"/>
      <c r="X200" s="39" t="n"/>
    </row>
    <row r="201" ht="17.6" customHeight="1" s="170">
      <c r="A201" s="91" t="inlineStr">
        <is>
          <t>干杂</t>
        </is>
      </c>
      <c r="B201" s="64" t="inlineStr">
        <is>
          <t>新一代辣椒面</t>
        </is>
      </c>
      <c r="C201" s="12" t="inlineStr">
        <is>
          <t>3.绵阳干杂</t>
        </is>
      </c>
      <c r="D201" s="57" t="n"/>
      <c r="E201" s="12" t="inlineStr">
        <is>
          <t>称重</t>
        </is>
      </c>
      <c r="F201" s="26" t="n">
        <v>500</v>
      </c>
      <c r="G201" s="57" t="n">
        <v>16</v>
      </c>
      <c r="H201" s="28" t="n"/>
      <c r="I201" t="n">
        <v>1</v>
      </c>
      <c r="J201" t="n">
        <v>0.03</v>
      </c>
      <c r="K201" s="28" t="n"/>
      <c r="L201" s="91" t="inlineStr">
        <is>
          <t>干杂</t>
        </is>
      </c>
      <c r="M201" s="57" t="n"/>
      <c r="N201" s="57" t="n"/>
      <c r="O201" s="39" t="n"/>
      <c r="P201" s="39" t="n"/>
      <c r="Q201" s="39" t="n"/>
      <c r="R201" s="39" t="n"/>
      <c r="S201" s="39" t="n"/>
      <c r="T201" s="39" t="n"/>
      <c r="U201" s="39" t="n"/>
      <c r="V201" s="39" t="n"/>
      <c r="W201" s="39" t="n"/>
      <c r="X201" s="39" t="n"/>
    </row>
    <row r="202" ht="17.6" customHeight="1" s="170">
      <c r="A202" s="91" t="inlineStr">
        <is>
          <t>干杂</t>
        </is>
      </c>
      <c r="B202" s="64" t="inlineStr">
        <is>
          <t>新一代辣椒</t>
        </is>
      </c>
      <c r="C202" s="12" t="inlineStr">
        <is>
          <t>3.绵阳干杂</t>
        </is>
      </c>
      <c r="D202" s="72" t="n"/>
      <c r="E202" s="12" t="inlineStr">
        <is>
          <t>称重</t>
        </is>
      </c>
      <c r="F202" s="26" t="n">
        <v>500</v>
      </c>
      <c r="G202" s="57" t="n">
        <v>18</v>
      </c>
      <c r="H202" s="28" t="n"/>
      <c r="I202" t="n">
        <v>0.9</v>
      </c>
      <c r="J202" t="n">
        <v>0.032</v>
      </c>
      <c r="K202" s="28" t="n"/>
      <c r="L202" s="91" t="inlineStr">
        <is>
          <t>干杂</t>
        </is>
      </c>
      <c r="M202" s="57" t="n"/>
      <c r="N202" s="57" t="n"/>
      <c r="O202" s="39" t="n"/>
      <c r="P202" s="39" t="n"/>
      <c r="Q202" s="39" t="n"/>
      <c r="R202" s="39" t="n"/>
      <c r="S202" s="39" t="n"/>
      <c r="T202" s="39" t="n"/>
      <c r="U202" s="39" t="n"/>
      <c r="V202" s="39" t="n"/>
      <c r="W202" s="39" t="n"/>
      <c r="X202" s="39" t="n"/>
    </row>
    <row r="203" ht="17.6" customHeight="1" s="170">
      <c r="A203" s="91" t="inlineStr">
        <is>
          <t>干杂</t>
        </is>
      </c>
      <c r="B203" s="64" t="inlineStr">
        <is>
          <t>毕节皱皮椒</t>
        </is>
      </c>
      <c r="C203" s="12" t="inlineStr">
        <is>
          <t>网采</t>
        </is>
      </c>
      <c r="D203" s="57" t="n"/>
      <c r="E203" s="12" t="inlineStr">
        <is>
          <t>称重</t>
        </is>
      </c>
      <c r="F203" s="26" t="n">
        <v>500</v>
      </c>
      <c r="G203" s="57" t="n">
        <v>24.6</v>
      </c>
      <c r="H203" s="28" t="n"/>
      <c r="I203" t="n">
        <v>0.9</v>
      </c>
      <c r="J203" t="n">
        <v>0.06</v>
      </c>
      <c r="K203" s="28" t="n"/>
      <c r="L203" s="91" t="inlineStr">
        <is>
          <t>干杂</t>
        </is>
      </c>
      <c r="M203" s="57" t="n"/>
      <c r="N203" s="57" t="n"/>
      <c r="O203" s="39" t="n"/>
      <c r="P203" s="39" t="n"/>
      <c r="Q203" s="39" t="n"/>
      <c r="R203" s="39" t="n"/>
      <c r="S203" s="39" t="n"/>
      <c r="T203" s="39" t="n"/>
      <c r="U203" s="39" t="n"/>
      <c r="V203" s="39" t="n"/>
      <c r="W203" s="39" t="n"/>
      <c r="X203" s="39" t="n"/>
    </row>
    <row r="204" ht="17.6" customHeight="1" s="170">
      <c r="A204" s="91" t="inlineStr">
        <is>
          <t>干杂</t>
        </is>
      </c>
      <c r="B204" s="64" t="inlineStr">
        <is>
          <t>芝麻</t>
        </is>
      </c>
      <c r="C204" s="12" t="inlineStr">
        <is>
          <t>3.绵阳干杂</t>
        </is>
      </c>
      <c r="D204" s="57" t="n"/>
      <c r="E204" s="12" t="inlineStr">
        <is>
          <t>称重</t>
        </is>
      </c>
      <c r="F204" s="26" t="n">
        <v>500</v>
      </c>
      <c r="G204" s="57" t="n">
        <v>15</v>
      </c>
      <c r="H204" s="28" t="n"/>
      <c r="I204" t="n">
        <v>1</v>
      </c>
      <c r="J204" t="n">
        <v>0.021</v>
      </c>
      <c r="K204" s="28" t="n"/>
      <c r="L204" s="91" t="inlineStr">
        <is>
          <t>干杂</t>
        </is>
      </c>
      <c r="M204" s="57" t="n"/>
      <c r="N204" s="57" t="n"/>
      <c r="O204" s="39" t="n"/>
      <c r="P204" s="39" t="n"/>
      <c r="Q204" s="39" t="n"/>
      <c r="R204" s="39" t="n"/>
      <c r="S204" s="39" t="n"/>
      <c r="T204" s="39" t="n"/>
      <c r="U204" s="39" t="n"/>
      <c r="V204" s="39" t="n"/>
      <c r="W204" s="39" t="n"/>
      <c r="X204" s="39" t="n"/>
    </row>
    <row r="205" ht="17.6" customHeight="1" s="170">
      <c r="A205" s="91" t="inlineStr">
        <is>
          <t>干杂</t>
        </is>
      </c>
      <c r="B205" s="64" t="inlineStr">
        <is>
          <t>干花椒</t>
        </is>
      </c>
      <c r="C205" s="12" t="inlineStr">
        <is>
          <t>3.绵阳干杂</t>
        </is>
      </c>
      <c r="D205" s="57" t="n"/>
      <c r="E205" s="12" t="inlineStr">
        <is>
          <t>称重</t>
        </is>
      </c>
      <c r="F205" s="26" t="n">
        <v>500</v>
      </c>
      <c r="G205" s="57" t="n">
        <v>55</v>
      </c>
      <c r="H205" s="28" t="n"/>
      <c r="I205" t="n">
        <v>0.9</v>
      </c>
      <c r="J205" t="n">
        <v>0.061</v>
      </c>
      <c r="K205" s="28" t="n"/>
      <c r="L205" s="91" t="inlineStr">
        <is>
          <t>干杂</t>
        </is>
      </c>
      <c r="M205" s="57" t="n"/>
      <c r="N205" s="57" t="n"/>
      <c r="O205" s="39" t="n"/>
      <c r="P205" s="39" t="n"/>
      <c r="Q205" s="39" t="n"/>
      <c r="R205" s="39" t="n"/>
      <c r="S205" s="39" t="n"/>
      <c r="T205" s="39" t="n"/>
      <c r="U205" s="39" t="n"/>
      <c r="V205" s="39" t="n"/>
      <c r="W205" s="39" t="n"/>
      <c r="X205" s="39" t="n"/>
    </row>
    <row r="206" ht="17.6" customHeight="1" s="170">
      <c r="A206" s="91" t="inlineStr">
        <is>
          <t>蔬菜</t>
        </is>
      </c>
      <c r="B206" s="64" t="inlineStr">
        <is>
          <t>三黄鸡</t>
        </is>
      </c>
      <c r="C206" s="12" t="inlineStr">
        <is>
          <t>2.绵阳蔬菜</t>
        </is>
      </c>
      <c r="D206" s="57" t="n"/>
      <c r="E206" s="12" t="inlineStr">
        <is>
          <t>称重</t>
        </is>
      </c>
      <c r="F206" s="26" t="n">
        <v>500</v>
      </c>
      <c r="G206" s="57" t="n">
        <v>12</v>
      </c>
      <c r="H206" s="28" t="n"/>
      <c r="I206" t="n">
        <v>0.95</v>
      </c>
      <c r="J206" t="n">
        <v>0.024</v>
      </c>
      <c r="K206" s="28" t="n"/>
      <c r="L206" s="91" t="inlineStr">
        <is>
          <t>蔬菜</t>
        </is>
      </c>
      <c r="M206" s="57" t="n"/>
      <c r="N206" s="57" t="n"/>
      <c r="O206" s="39" t="n"/>
      <c r="P206" s="39" t="n"/>
      <c r="Q206" s="39" t="n"/>
      <c r="R206" s="39" t="n"/>
      <c r="S206" s="39" t="n"/>
      <c r="T206" s="39" t="n"/>
      <c r="U206" s="39" t="n"/>
      <c r="V206" s="39" t="n"/>
      <c r="W206" s="39" t="n"/>
      <c r="X206" s="39" t="n"/>
    </row>
    <row r="207" ht="17.6" customHeight="1" s="170">
      <c r="A207" s="91" t="inlineStr">
        <is>
          <t>海鲜</t>
        </is>
      </c>
      <c r="B207" s="66" t="inlineStr">
        <is>
          <t>鲈鱼</t>
        </is>
      </c>
      <c r="C207" s="12" t="inlineStr">
        <is>
          <t>4.绵阳海鲜</t>
        </is>
      </c>
      <c r="D207" s="57" t="n"/>
      <c r="E207" s="12" t="inlineStr">
        <is>
          <t>称重</t>
        </is>
      </c>
      <c r="F207" s="26" t="n">
        <v>500</v>
      </c>
      <c r="G207" s="57" t="n">
        <v>16</v>
      </c>
      <c r="H207" s="28" t="n"/>
      <c r="I207" t="n">
        <v>1</v>
      </c>
      <c r="J207" t="n">
        <v>0.032</v>
      </c>
      <c r="K207" s="28" t="n"/>
      <c r="L207" s="91" t="inlineStr">
        <is>
          <t>海鲜</t>
        </is>
      </c>
      <c r="M207" s="57" t="n"/>
      <c r="N207" s="57" t="n"/>
      <c r="O207" s="39" t="n"/>
      <c r="P207" s="39" t="n"/>
      <c r="Q207" s="39" t="n"/>
      <c r="R207" s="39" t="n"/>
      <c r="S207" s="39" t="n"/>
      <c r="T207" s="39" t="n"/>
      <c r="U207" s="39" t="n"/>
      <c r="V207" s="39" t="n"/>
      <c r="W207" s="39" t="n"/>
      <c r="X207" s="39" t="n"/>
    </row>
    <row r="208" ht="17.6" customHeight="1" s="170">
      <c r="A208" s="91" t="inlineStr">
        <is>
          <t>海鲜</t>
        </is>
      </c>
      <c r="B208" s="66" t="inlineStr">
        <is>
          <t>黄辣丁</t>
        </is>
      </c>
      <c r="C208" s="12" t="inlineStr">
        <is>
          <t>4.绵阳海鲜</t>
        </is>
      </c>
      <c r="D208" s="57" t="n"/>
      <c r="E208" s="12" t="inlineStr">
        <is>
          <t>称重</t>
        </is>
      </c>
      <c r="F208" s="26" t="n">
        <v>500</v>
      </c>
      <c r="G208" s="57" t="n">
        <v>14</v>
      </c>
      <c r="H208" s="28" t="n"/>
      <c r="I208" t="n">
        <v>1</v>
      </c>
      <c r="J208" t="n">
        <v>0.028</v>
      </c>
      <c r="K208" s="28" t="n"/>
      <c r="L208" s="91" t="inlineStr">
        <is>
          <t>海鲜</t>
        </is>
      </c>
      <c r="M208" s="57" t="n"/>
      <c r="N208" s="57" t="n"/>
      <c r="O208" s="39" t="n"/>
      <c r="P208" s="39" t="n"/>
      <c r="Q208" s="39" t="n"/>
      <c r="R208" s="39" t="n"/>
      <c r="S208" s="39" t="n"/>
      <c r="T208" s="39" t="n"/>
      <c r="U208" s="39" t="n"/>
      <c r="V208" s="39" t="n"/>
      <c r="W208" s="39" t="n"/>
      <c r="X208" s="39" t="n"/>
    </row>
    <row r="209" ht="17.6" customHeight="1" s="170">
      <c r="A209" s="91" t="inlineStr">
        <is>
          <t>蔬菜</t>
        </is>
      </c>
      <c r="B209" s="64" t="inlineStr">
        <is>
          <t>五花肉</t>
        </is>
      </c>
      <c r="C209" s="12" t="inlineStr">
        <is>
          <t>2.绵阳蔬菜</t>
        </is>
      </c>
      <c r="D209" s="57" t="n"/>
      <c r="E209" s="12" t="inlineStr">
        <is>
          <t>称重</t>
        </is>
      </c>
      <c r="F209" s="26" t="n">
        <v>500</v>
      </c>
      <c r="G209" s="57" t="n">
        <v>16</v>
      </c>
      <c r="H209" s="28" t="n"/>
      <c r="I209" t="n">
        <v>0.8</v>
      </c>
      <c r="J209" t="n">
        <v>0.032</v>
      </c>
      <c r="K209" s="28" t="n"/>
      <c r="L209" s="91" t="inlineStr">
        <is>
          <t>蔬菜</t>
        </is>
      </c>
      <c r="M209" s="57" t="n"/>
      <c r="N209" s="57" t="n"/>
      <c r="O209" s="39" t="n"/>
      <c r="P209" s="39" t="n"/>
      <c r="Q209" s="39" t="n"/>
      <c r="R209" s="39" t="n"/>
      <c r="S209" s="39" t="n"/>
      <c r="T209" s="39" t="n"/>
      <c r="U209" s="39" t="n"/>
      <c r="V209" s="39" t="n"/>
      <c r="W209" s="39" t="n"/>
      <c r="X209" s="39" t="n"/>
    </row>
    <row r="210" ht="17.6" customHeight="1" s="170">
      <c r="A210" s="91" t="inlineStr">
        <is>
          <t>干杂</t>
        </is>
      </c>
      <c r="B210" s="66" t="inlineStr">
        <is>
          <t>耗油</t>
        </is>
      </c>
      <c r="C210" s="12" t="inlineStr">
        <is>
          <t>3.绵阳干杂</t>
        </is>
      </c>
      <c r="D210" s="57" t="n"/>
      <c r="E210" s="12" t="inlineStr">
        <is>
          <t>称重</t>
        </is>
      </c>
      <c r="F210" s="26" t="n">
        <v>500</v>
      </c>
      <c r="G210" s="57" t="n">
        <v>4.58</v>
      </c>
      <c r="H210" s="28" t="n"/>
      <c r="I210" t="n">
        <v>1</v>
      </c>
      <c r="J210" t="n">
        <v>0.00916</v>
      </c>
      <c r="K210" s="28" t="n"/>
      <c r="L210" s="91" t="inlineStr">
        <is>
          <t>干杂</t>
        </is>
      </c>
      <c r="M210" s="57" t="n"/>
      <c r="N210" s="57" t="n"/>
      <c r="O210" s="39" t="n"/>
      <c r="P210" s="39" t="n"/>
      <c r="Q210" s="39" t="n"/>
      <c r="R210" s="39" t="n"/>
      <c r="S210" s="39" t="n"/>
      <c r="T210" s="39" t="n"/>
      <c r="U210" s="39" t="n"/>
      <c r="V210" s="39" t="n"/>
      <c r="W210" s="39" t="n"/>
      <c r="X210" s="39" t="n"/>
    </row>
    <row r="211" ht="17.6" customHeight="1" s="170">
      <c r="A211" s="91" t="inlineStr">
        <is>
          <t>蔬菜</t>
        </is>
      </c>
      <c r="B211" s="66" t="inlineStr">
        <is>
          <t>芒果</t>
        </is>
      </c>
      <c r="C211" s="12" t="inlineStr">
        <is>
          <t>2.绵阳蔬菜</t>
        </is>
      </c>
      <c r="D211" s="57" t="n"/>
      <c r="E211" s="12" t="inlineStr">
        <is>
          <t>称重</t>
        </is>
      </c>
      <c r="F211" s="26" t="n">
        <v>500</v>
      </c>
      <c r="G211" s="57" t="n">
        <v>10</v>
      </c>
      <c r="H211" s="28" t="n"/>
      <c r="I211" t="n">
        <v>1</v>
      </c>
      <c r="J211" t="n">
        <v>0.02</v>
      </c>
      <c r="K211" s="28" t="n"/>
      <c r="L211" s="91" t="inlineStr">
        <is>
          <t>蔬菜</t>
        </is>
      </c>
      <c r="M211" s="57" t="n"/>
      <c r="N211" s="57" t="n"/>
      <c r="O211" s="39" t="n"/>
      <c r="P211" s="39" t="n"/>
      <c r="Q211" s="39" t="n"/>
      <c r="R211" s="39" t="n"/>
      <c r="S211" s="39" t="n"/>
      <c r="T211" s="39" t="n"/>
      <c r="U211" s="39" t="n"/>
      <c r="V211" s="39" t="n"/>
      <c r="W211" s="39" t="n"/>
      <c r="X211" s="39" t="n"/>
    </row>
    <row r="212" ht="17.6" customHeight="1" s="170">
      <c r="A212" s="91" t="inlineStr">
        <is>
          <t>糖水铺</t>
        </is>
      </c>
      <c r="B212" s="66" t="inlineStr">
        <is>
          <t>莲子罐头</t>
        </is>
      </c>
      <c r="C212" s="12" t="inlineStr">
        <is>
          <t>网采</t>
        </is>
      </c>
      <c r="D212" s="57" t="n"/>
      <c r="E212" s="12" t="inlineStr">
        <is>
          <t>称重</t>
        </is>
      </c>
      <c r="F212" s="26" t="n">
        <v>900</v>
      </c>
      <c r="G212" s="57" t="n">
        <v>29.8</v>
      </c>
      <c r="H212" s="28" t="n"/>
      <c r="I212" t="n">
        <v>1</v>
      </c>
      <c r="J212" t="n">
        <v>0.033111</v>
      </c>
      <c r="K212" s="28" t="n"/>
      <c r="L212" s="91" t="inlineStr">
        <is>
          <t>糖水铺</t>
        </is>
      </c>
      <c r="M212" s="57" t="n"/>
      <c r="N212" s="57" t="n"/>
      <c r="O212" s="39" t="n"/>
      <c r="P212" s="39" t="n"/>
      <c r="Q212" s="39" t="n"/>
      <c r="R212" s="39" t="n"/>
      <c r="S212" s="39" t="n"/>
      <c r="T212" s="39" t="n"/>
      <c r="U212" s="39" t="n"/>
      <c r="V212" s="39" t="n"/>
      <c r="W212" s="39" t="n"/>
      <c r="X212" s="39" t="n"/>
    </row>
    <row r="213" ht="17.6" customHeight="1" s="170">
      <c r="A213" s="91" t="inlineStr">
        <is>
          <t>糖水铺</t>
        </is>
      </c>
      <c r="B213" s="62" t="inlineStr">
        <is>
          <t>烧仙草罐头</t>
        </is>
      </c>
      <c r="C213" s="12" t="inlineStr">
        <is>
          <t>网采</t>
        </is>
      </c>
      <c r="D213" s="57" t="n"/>
      <c r="E213" s="12" t="inlineStr">
        <is>
          <t>称重</t>
        </is>
      </c>
      <c r="F213" s="26" t="n">
        <v>820</v>
      </c>
      <c r="G213" s="57" t="n">
        <v>15</v>
      </c>
      <c r="H213" s="28" t="n"/>
      <c r="I213" t="n">
        <v>1</v>
      </c>
      <c r="J213" t="n">
        <v>0.018293</v>
      </c>
      <c r="K213" s="28" t="n"/>
      <c r="L213" s="91" t="inlineStr">
        <is>
          <t>糖水铺</t>
        </is>
      </c>
      <c r="M213" s="57" t="n"/>
      <c r="N213" s="57" t="n"/>
      <c r="O213" s="39" t="n"/>
      <c r="P213" s="39" t="n"/>
      <c r="Q213" s="39" t="n"/>
      <c r="R213" s="39" t="n"/>
      <c r="S213" s="39" t="n"/>
      <c r="T213" s="39" t="n"/>
      <c r="U213" s="39" t="n"/>
      <c r="V213" s="39" t="n"/>
      <c r="W213" s="39" t="n"/>
      <c r="X213" s="39" t="n"/>
    </row>
    <row r="214" ht="17.6" customHeight="1" s="170">
      <c r="A214" s="91" t="inlineStr">
        <is>
          <t>糖水铺</t>
        </is>
      </c>
      <c r="B214" s="62" t="inlineStr">
        <is>
          <t>芋泥罐头</t>
        </is>
      </c>
      <c r="C214" s="12" t="inlineStr">
        <is>
          <t>网采</t>
        </is>
      </c>
      <c r="D214" s="57" t="n"/>
      <c r="E214" s="12" t="inlineStr">
        <is>
          <t>称重</t>
        </is>
      </c>
      <c r="F214" s="26" t="n">
        <v>900</v>
      </c>
      <c r="G214" s="57" t="n">
        <v>15.8</v>
      </c>
      <c r="H214" s="28" t="n"/>
      <c r="I214" t="n">
        <v>1</v>
      </c>
      <c r="J214" t="n">
        <v>0.017556</v>
      </c>
      <c r="K214" s="28" t="n"/>
      <c r="L214" s="91" t="inlineStr">
        <is>
          <t>糖水铺</t>
        </is>
      </c>
      <c r="M214" s="57" t="n"/>
      <c r="N214" s="57" t="n"/>
      <c r="O214" s="39" t="n"/>
      <c r="P214" s="39" t="n"/>
      <c r="Q214" s="39" t="n"/>
      <c r="R214" s="39" t="n"/>
      <c r="S214" s="39" t="n"/>
      <c r="T214" s="39" t="n"/>
      <c r="U214" s="39" t="n"/>
      <c r="V214" s="39" t="n"/>
      <c r="W214" s="39" t="n"/>
      <c r="X214" s="39" t="n"/>
    </row>
    <row r="215" ht="17.6" customHeight="1" s="170">
      <c r="A215" s="91" t="inlineStr">
        <is>
          <t>糖水铺</t>
        </is>
      </c>
      <c r="B215" s="62" t="inlineStr">
        <is>
          <t>荔枝罐头</t>
        </is>
      </c>
      <c r="C215" s="12" t="inlineStr">
        <is>
          <t>网采</t>
        </is>
      </c>
      <c r="D215" s="57" t="n"/>
      <c r="E215" s="12" t="inlineStr">
        <is>
          <t>称重</t>
        </is>
      </c>
      <c r="F215" s="26" t="n">
        <v>850</v>
      </c>
      <c r="G215" s="57" t="n">
        <v>21</v>
      </c>
      <c r="H215" s="28" t="n"/>
      <c r="I215" t="n">
        <v>1</v>
      </c>
      <c r="J215" t="n">
        <v>0.024706</v>
      </c>
      <c r="K215" s="28" t="n"/>
      <c r="L215" s="91" t="inlineStr">
        <is>
          <t>糖水铺</t>
        </is>
      </c>
      <c r="M215" s="57" t="n"/>
      <c r="N215" s="57" t="n"/>
      <c r="O215" s="39" t="n"/>
      <c r="P215" s="39" t="n"/>
      <c r="Q215" s="39" t="n"/>
      <c r="R215" s="39" t="n"/>
      <c r="S215" s="39" t="n"/>
      <c r="T215" s="39" t="n"/>
      <c r="U215" s="39" t="n"/>
      <c r="V215" s="39" t="n"/>
      <c r="W215" s="39" t="n"/>
      <c r="X215" s="39" t="n"/>
    </row>
    <row r="216" ht="17.6" customHeight="1" s="170">
      <c r="A216" s="91" t="inlineStr">
        <is>
          <t>干杂</t>
        </is>
      </c>
      <c r="B216" s="62" t="inlineStr">
        <is>
          <t>糖桂花</t>
        </is>
      </c>
      <c r="C216" s="12" t="inlineStr">
        <is>
          <t>3.绵阳干杂</t>
        </is>
      </c>
      <c r="D216" s="57" t="n"/>
      <c r="E216" s="12" t="inlineStr">
        <is>
          <t>称重</t>
        </is>
      </c>
      <c r="F216" s="26" t="n">
        <v>300</v>
      </c>
      <c r="G216" s="57" t="n">
        <v>5</v>
      </c>
      <c r="H216" s="28" t="n"/>
      <c r="I216" t="n">
        <v>1</v>
      </c>
      <c r="J216" t="n">
        <v>0.016667</v>
      </c>
      <c r="K216" s="28" t="n"/>
      <c r="L216" s="91" t="inlineStr">
        <is>
          <t>干杂</t>
        </is>
      </c>
      <c r="M216" s="57" t="n"/>
      <c r="N216" s="57" t="n"/>
      <c r="O216" s="39" t="n"/>
      <c r="P216" s="39" t="n"/>
      <c r="Q216" s="39" t="n"/>
      <c r="R216" s="39" t="n"/>
      <c r="S216" s="39" t="n"/>
      <c r="T216" s="39" t="n"/>
      <c r="U216" s="39" t="n"/>
      <c r="V216" s="39" t="n"/>
      <c r="W216" s="39" t="n"/>
      <c r="X216" s="39" t="n"/>
    </row>
    <row r="217" ht="17.6" customHeight="1" s="170">
      <c r="A217" s="91" t="inlineStr">
        <is>
          <t>干杂</t>
        </is>
      </c>
      <c r="B217" s="62" t="inlineStr">
        <is>
          <t>海石花</t>
        </is>
      </c>
      <c r="C217" s="12" t="inlineStr">
        <is>
          <t>网采</t>
        </is>
      </c>
      <c r="D217" s="57" t="n"/>
      <c r="E217" s="12" t="inlineStr">
        <is>
          <t>称重</t>
        </is>
      </c>
      <c r="F217" s="26" t="n">
        <v>500</v>
      </c>
      <c r="G217" s="57" t="n">
        <v>53</v>
      </c>
      <c r="H217" s="28" t="n"/>
      <c r="I217" t="n">
        <v>1</v>
      </c>
      <c r="J217" t="n">
        <v>0.106</v>
      </c>
      <c r="K217" s="28" t="n"/>
      <c r="L217" s="91" t="inlineStr">
        <is>
          <t>干杂</t>
        </is>
      </c>
      <c r="M217" s="57" t="n"/>
      <c r="N217" s="57" t="n"/>
      <c r="O217" s="39" t="n"/>
      <c r="P217" s="39" t="n"/>
      <c r="Q217" s="39" t="n"/>
      <c r="R217" s="39" t="n"/>
      <c r="S217" s="39" t="n"/>
      <c r="T217" s="39" t="n"/>
      <c r="U217" s="39" t="n"/>
      <c r="V217" s="39" t="n"/>
      <c r="W217" s="39" t="n"/>
      <c r="X217" s="39" t="n"/>
    </row>
    <row r="218" ht="17.6" customHeight="1" s="170">
      <c r="A218" s="91" t="inlineStr">
        <is>
          <t>干杂</t>
        </is>
      </c>
      <c r="B218" s="62" t="inlineStr">
        <is>
          <t>网状春卷皮</t>
        </is>
      </c>
      <c r="C218" s="12" t="inlineStr">
        <is>
          <t>3.绵阳干杂</t>
        </is>
      </c>
      <c r="D218" s="57" t="n"/>
      <c r="E218" s="12" t="inlineStr">
        <is>
          <t>称重</t>
        </is>
      </c>
      <c r="F218" s="26" t="n">
        <v>500</v>
      </c>
      <c r="G218" s="57" t="n">
        <v>13.18</v>
      </c>
      <c r="H218" s="28" t="n"/>
      <c r="I218" t="n">
        <v>1</v>
      </c>
      <c r="J218" t="n">
        <v>0.02636</v>
      </c>
      <c r="K218" s="28" t="n"/>
      <c r="L218" s="91" t="inlineStr">
        <is>
          <t>干杂</t>
        </is>
      </c>
      <c r="M218" s="57" t="n"/>
      <c r="N218" s="57" t="n"/>
      <c r="O218" s="39" t="n"/>
      <c r="P218" s="39" t="n"/>
      <c r="Q218" s="39" t="n"/>
      <c r="R218" s="39" t="n"/>
      <c r="S218" s="39" t="n"/>
      <c r="T218" s="39" t="n"/>
      <c r="U218" s="39" t="n"/>
      <c r="V218" s="39" t="n"/>
      <c r="W218" s="39" t="n"/>
      <c r="X218" s="39" t="n"/>
    </row>
    <row r="219" ht="17.6" customHeight="1" s="170">
      <c r="A219" s="91" t="inlineStr">
        <is>
          <t>干杂</t>
        </is>
      </c>
      <c r="B219" s="62" t="inlineStr">
        <is>
          <t>红辣椒丝</t>
        </is>
      </c>
      <c r="C219" s="12" t="n"/>
      <c r="D219" s="57" t="n"/>
      <c r="E219" s="12" t="inlineStr">
        <is>
          <t>称重</t>
        </is>
      </c>
      <c r="F219" s="26" t="n">
        <v>10</v>
      </c>
      <c r="G219" s="57" t="n">
        <v>6.6</v>
      </c>
      <c r="H219" s="28" t="n"/>
      <c r="I219" t="n">
        <v>1</v>
      </c>
      <c r="J219" t="n">
        <v>0.59</v>
      </c>
      <c r="K219" s="28" t="n"/>
      <c r="L219" s="91" t="inlineStr">
        <is>
          <t>干杂</t>
        </is>
      </c>
      <c r="M219" s="57" t="n"/>
      <c r="N219" s="57" t="n"/>
      <c r="O219" s="39" t="n"/>
      <c r="P219" s="39" t="n"/>
      <c r="Q219" s="39" t="n"/>
      <c r="R219" s="39" t="n"/>
      <c r="S219" s="39" t="n"/>
      <c r="T219" s="39" t="n"/>
      <c r="U219" s="39" t="n"/>
      <c r="V219" s="39" t="n"/>
      <c r="W219" s="39" t="n"/>
      <c r="X219" s="39" t="n"/>
    </row>
    <row r="220" ht="17.6" customHeight="1" s="170">
      <c r="A220" s="91" t="inlineStr">
        <is>
          <t>干杂</t>
        </is>
      </c>
      <c r="B220" s="62" t="inlineStr">
        <is>
          <t>千丝酥皮</t>
        </is>
      </c>
      <c r="C220" s="12" t="inlineStr">
        <is>
          <t>网采</t>
        </is>
      </c>
      <c r="D220" s="57" t="n"/>
      <c r="E220" s="12" t="inlineStr">
        <is>
          <t>称重</t>
        </is>
      </c>
      <c r="F220" s="26" t="n">
        <v>500</v>
      </c>
      <c r="G220" s="57" t="n">
        <v>32.5</v>
      </c>
      <c r="H220" s="28" t="n"/>
      <c r="I220" t="n">
        <v>1</v>
      </c>
      <c r="J220" t="n">
        <v>0.065</v>
      </c>
      <c r="K220" s="28" t="n"/>
      <c r="L220" s="91" t="inlineStr">
        <is>
          <t>干杂</t>
        </is>
      </c>
      <c r="M220" s="57" t="n"/>
      <c r="N220" s="57" t="n"/>
      <c r="O220" s="39" t="n"/>
      <c r="P220" s="39" t="n"/>
      <c r="Q220" s="39" t="n"/>
      <c r="R220" s="39" t="n"/>
      <c r="S220" s="39" t="n"/>
      <c r="T220" s="39" t="n"/>
      <c r="U220" s="39" t="n"/>
      <c r="V220" s="39" t="n"/>
      <c r="W220" s="39" t="n"/>
      <c r="X220" s="39" t="n"/>
    </row>
    <row r="221" ht="17.6" customHeight="1" s="170">
      <c r="A221" s="91" t="inlineStr">
        <is>
          <t>蔬菜</t>
        </is>
      </c>
      <c r="B221" s="62" t="inlineStr">
        <is>
          <t>茼蒿</t>
        </is>
      </c>
      <c r="C221" s="12" t="inlineStr">
        <is>
          <t>2.绵阳蔬菜</t>
        </is>
      </c>
      <c r="D221" s="57" t="n"/>
      <c r="E221" s="12" t="inlineStr">
        <is>
          <t>称重</t>
        </is>
      </c>
      <c r="F221" s="26" t="n">
        <v>500</v>
      </c>
      <c r="G221" s="57" t="n">
        <v>6</v>
      </c>
      <c r="H221" s="28" t="n"/>
      <c r="I221" t="n">
        <v>0.6</v>
      </c>
      <c r="J221" t="n">
        <v>0.012</v>
      </c>
      <c r="K221" s="28" t="n"/>
      <c r="L221" s="91" t="inlineStr">
        <is>
          <t>蔬菜</t>
        </is>
      </c>
      <c r="M221" s="57" t="n"/>
      <c r="N221" s="57" t="n"/>
      <c r="O221" s="39" t="n"/>
      <c r="P221" s="39" t="n"/>
      <c r="Q221" s="39" t="n"/>
      <c r="R221" s="39" t="n"/>
      <c r="S221" s="39" t="n"/>
      <c r="T221" s="39" t="n"/>
      <c r="U221" s="39" t="n"/>
      <c r="V221" s="39" t="n"/>
      <c r="W221" s="39" t="n"/>
      <c r="X221" s="39" t="n"/>
    </row>
    <row r="222" ht="17.6" customHeight="1" s="170">
      <c r="A222" s="91" t="inlineStr">
        <is>
          <t>干杂</t>
        </is>
      </c>
      <c r="B222" s="62" t="inlineStr">
        <is>
          <t>烟熏腊肉</t>
        </is>
      </c>
      <c r="C222" s="12" t="inlineStr">
        <is>
          <t>3.绵阳干杂</t>
        </is>
      </c>
      <c r="D222" s="57" t="n"/>
      <c r="E222" s="12" t="inlineStr">
        <is>
          <t>称重</t>
        </is>
      </c>
      <c r="F222" s="26" t="n">
        <v>500</v>
      </c>
      <c r="G222" s="57" t="n">
        <v>16.5</v>
      </c>
      <c r="H222" s="28" t="n"/>
      <c r="I222" t="n">
        <v>1</v>
      </c>
      <c r="J222" t="n">
        <v>0.033</v>
      </c>
      <c r="K222" s="28" t="n"/>
      <c r="L222" s="91" t="inlineStr">
        <is>
          <t>干杂</t>
        </is>
      </c>
      <c r="M222" s="57" t="n"/>
      <c r="N222" s="57" t="n"/>
      <c r="O222" s="39" t="n"/>
      <c r="P222" s="39" t="n"/>
      <c r="Q222" s="39" t="n"/>
      <c r="R222" s="39" t="n"/>
      <c r="S222" s="39" t="n"/>
      <c r="T222" s="39" t="n"/>
      <c r="U222" s="39" t="n"/>
      <c r="V222" s="39" t="n"/>
      <c r="W222" s="39" t="n"/>
      <c r="X222" s="39" t="n"/>
    </row>
    <row r="223" ht="17.6" customHeight="1" s="170">
      <c r="A223" s="91" t="inlineStr">
        <is>
          <t>蔬菜</t>
        </is>
      </c>
      <c r="B223" s="62" t="inlineStr">
        <is>
          <t>蜜薯</t>
        </is>
      </c>
      <c r="C223" s="12" t="inlineStr">
        <is>
          <t>网采</t>
        </is>
      </c>
      <c r="D223" s="57" t="n"/>
      <c r="E223" s="12" t="inlineStr">
        <is>
          <t>称重</t>
        </is>
      </c>
      <c r="F223" s="26" t="n">
        <v>500</v>
      </c>
      <c r="G223" s="57" t="n">
        <v>4.15</v>
      </c>
      <c r="H223" s="28" t="n"/>
      <c r="I223" t="n">
        <v>1</v>
      </c>
      <c r="J223" t="n">
        <v>0.0083</v>
      </c>
      <c r="K223" s="28" t="n"/>
      <c r="L223" s="91" t="inlineStr">
        <is>
          <t>蔬菜</t>
        </is>
      </c>
      <c r="M223" s="57" t="n"/>
      <c r="N223" s="57" t="n"/>
      <c r="O223" s="39" t="n"/>
      <c r="P223" s="39" t="n"/>
      <c r="Q223" s="39" t="n"/>
      <c r="R223" s="39" t="n"/>
      <c r="S223" s="39" t="n"/>
      <c r="T223" s="39" t="n"/>
      <c r="U223" s="39" t="n"/>
      <c r="V223" s="39" t="n"/>
      <c r="W223" s="39" t="n"/>
      <c r="X223" s="39" t="n"/>
    </row>
    <row r="224" ht="17.6" customHeight="1" s="170">
      <c r="A224" s="91" t="inlineStr">
        <is>
          <t>干杂</t>
        </is>
      </c>
      <c r="B224" s="62" t="inlineStr">
        <is>
          <t>糖粉</t>
        </is>
      </c>
      <c r="C224" s="12" t="inlineStr">
        <is>
          <t>网采</t>
        </is>
      </c>
      <c r="D224" s="57" t="n"/>
      <c r="E224" s="12" t="inlineStr">
        <is>
          <t>称重</t>
        </is>
      </c>
      <c r="F224" s="26" t="n">
        <v>400</v>
      </c>
      <c r="G224" s="57" t="n">
        <v>15.8</v>
      </c>
      <c r="H224" s="28" t="n"/>
      <c r="I224" t="n">
        <v>1</v>
      </c>
      <c r="J224" t="n">
        <v>0.0395</v>
      </c>
      <c r="K224" s="28" t="n"/>
      <c r="L224" s="91" t="inlineStr">
        <is>
          <t>干杂</t>
        </is>
      </c>
      <c r="M224" s="57" t="n"/>
      <c r="N224" s="57" t="n"/>
      <c r="O224" s="39" t="n"/>
      <c r="P224" s="39" t="n"/>
      <c r="Q224" s="39" t="n"/>
      <c r="R224" s="39" t="n"/>
      <c r="S224" s="39" t="n"/>
      <c r="T224" s="39" t="n"/>
      <c r="U224" s="39" t="n"/>
      <c r="V224" s="39" t="n"/>
      <c r="W224" s="39" t="n"/>
      <c r="X224" s="39" t="n"/>
    </row>
    <row r="225" ht="17.6" customHeight="1" s="170">
      <c r="A225" s="91" t="inlineStr">
        <is>
          <t>干杂</t>
        </is>
      </c>
      <c r="B225" s="12" t="inlineStr">
        <is>
          <t>干桂花</t>
        </is>
      </c>
      <c r="C225" s="12" t="inlineStr">
        <is>
          <t>网采</t>
        </is>
      </c>
      <c r="D225" s="57" t="n"/>
      <c r="E225" s="12" t="inlineStr">
        <is>
          <t>称重</t>
        </is>
      </c>
      <c r="F225" s="26" t="n">
        <v>500</v>
      </c>
      <c r="G225" s="57" t="n">
        <v>62.5</v>
      </c>
      <c r="H225" s="28" t="n"/>
      <c r="I225" t="n">
        <v>1</v>
      </c>
      <c r="J225" t="n">
        <v>0.13644</v>
      </c>
      <c r="K225" s="28" t="n"/>
      <c r="L225" s="91" t="inlineStr">
        <is>
          <t>干杂</t>
        </is>
      </c>
      <c r="M225" s="57" t="n"/>
      <c r="N225" s="57" t="n"/>
      <c r="O225" s="39" t="n"/>
      <c r="P225" s="39" t="n"/>
      <c r="Q225" s="39" t="n"/>
      <c r="R225" s="39" t="n"/>
      <c r="S225" s="39" t="n"/>
      <c r="T225" s="39" t="n"/>
      <c r="U225" s="39" t="n"/>
      <c r="V225" s="39" t="n"/>
      <c r="W225" s="39" t="n"/>
      <c r="X225" s="39" t="n"/>
    </row>
    <row r="226" ht="17.6" customHeight="1" s="170">
      <c r="A226" s="91" t="inlineStr">
        <is>
          <t>干杂</t>
        </is>
      </c>
      <c r="B226" s="12" t="inlineStr">
        <is>
          <t>豆米底料</t>
        </is>
      </c>
      <c r="C226" s="12" t="inlineStr">
        <is>
          <t>集采</t>
        </is>
      </c>
      <c r="D226" s="57" t="n"/>
      <c r="E226" s="12" t="inlineStr">
        <is>
          <t>称重</t>
        </is>
      </c>
      <c r="F226" s="26" t="n">
        <v>500</v>
      </c>
      <c r="G226" s="57" t="n">
        <v>12</v>
      </c>
      <c r="H226" s="28" t="n"/>
      <c r="I226" t="n">
        <v>1</v>
      </c>
      <c r="J226" t="n">
        <v>0.0226</v>
      </c>
      <c r="K226" s="28" t="n"/>
      <c r="L226" s="91" t="inlineStr">
        <is>
          <t>干杂</t>
        </is>
      </c>
      <c r="M226" s="57" t="n"/>
      <c r="N226" s="57" t="n"/>
      <c r="O226" s="39" t="n"/>
      <c r="P226" s="39" t="n"/>
      <c r="Q226" s="39" t="n"/>
      <c r="R226" s="39" t="n"/>
      <c r="S226" s="39" t="n"/>
      <c r="T226" s="39" t="n"/>
      <c r="U226" s="39" t="n"/>
      <c r="V226" s="39" t="n"/>
      <c r="W226" s="39" t="n"/>
      <c r="X226" s="39" t="n"/>
    </row>
    <row r="227" ht="17.6" customHeight="1" s="170">
      <c r="A227" s="91" t="inlineStr">
        <is>
          <t>干杂</t>
        </is>
      </c>
      <c r="B227" s="12" t="inlineStr">
        <is>
          <t>米饭</t>
        </is>
      </c>
      <c r="C227" s="12" t="inlineStr">
        <is>
          <t>3.绵阳干杂</t>
        </is>
      </c>
      <c r="D227" s="57" t="n"/>
      <c r="E227" s="12" t="inlineStr">
        <is>
          <t>称重</t>
        </is>
      </c>
      <c r="F227" s="26" t="n">
        <v>500</v>
      </c>
      <c r="G227" s="57" t="n">
        <v>1.33</v>
      </c>
      <c r="H227" s="28" t="n"/>
      <c r="I227" t="n">
        <v>1</v>
      </c>
      <c r="J227" t="n">
        <v>0.00266</v>
      </c>
      <c r="K227" s="28" t="n"/>
      <c r="L227" s="91" t="inlineStr">
        <is>
          <t>干杂</t>
        </is>
      </c>
      <c r="M227" s="57" t="n"/>
      <c r="N227" s="57" t="n"/>
      <c r="O227" s="39" t="n"/>
      <c r="P227" s="39" t="n"/>
      <c r="Q227" s="39" t="n"/>
      <c r="R227" s="39" t="n"/>
      <c r="S227" s="39" t="n"/>
      <c r="T227" s="39" t="n"/>
      <c r="U227" s="39" t="n"/>
      <c r="V227" s="39" t="n"/>
      <c r="W227" s="39" t="n"/>
      <c r="X227" s="39" t="n"/>
    </row>
    <row r="228" ht="17.6" customHeight="1" s="170">
      <c r="A228" s="91" t="inlineStr">
        <is>
          <t>糖水铺</t>
        </is>
      </c>
      <c r="B228" s="12" t="inlineStr">
        <is>
          <t>冷冻龙眼肉</t>
        </is>
      </c>
      <c r="C228" s="12" t="inlineStr">
        <is>
          <t>集采</t>
        </is>
      </c>
      <c r="D228" s="57" t="n"/>
      <c r="E228" s="12" t="inlineStr">
        <is>
          <t>500g/袋*20 袋/箱</t>
        </is>
      </c>
      <c r="F228" s="26" t="n">
        <v>500</v>
      </c>
      <c r="G228" s="57" t="n">
        <v>40</v>
      </c>
      <c r="H228" s="28" t="n"/>
      <c r="I228" t="n">
        <v>1</v>
      </c>
      <c r="J228" t="n">
        <v>0.08</v>
      </c>
      <c r="K228" s="28" t="n"/>
      <c r="L228" s="91" t="inlineStr">
        <is>
          <t>糖水铺</t>
        </is>
      </c>
      <c r="M228" s="57" t="n"/>
      <c r="N228" s="57" t="n"/>
      <c r="O228" s="39" t="n"/>
      <c r="P228" s="39" t="n"/>
      <c r="Q228" s="39" t="n"/>
      <c r="R228" s="39" t="n"/>
      <c r="S228" s="39" t="n"/>
      <c r="T228" s="39" t="n"/>
      <c r="U228" s="39" t="n"/>
      <c r="V228" s="39" t="n"/>
      <c r="W228" s="39" t="n"/>
      <c r="X228" s="39" t="n"/>
    </row>
    <row r="229" ht="17.6" customHeight="1" s="170">
      <c r="A229" s="91" t="inlineStr">
        <is>
          <t>糖水铺</t>
        </is>
      </c>
      <c r="B229" s="12" t="inlineStr">
        <is>
          <t>桂花酒酿</t>
        </is>
      </c>
      <c r="C229" s="12" t="inlineStr">
        <is>
          <t>集采</t>
        </is>
      </c>
      <c r="D229" s="57" t="n"/>
      <c r="E229" s="12" t="inlineStr">
        <is>
          <t>1 .2kg/瓶*12 瓶/箱</t>
        </is>
      </c>
      <c r="F229" s="26" t="n">
        <v>1200</v>
      </c>
      <c r="G229" s="57" t="n">
        <v>54</v>
      </c>
      <c r="H229" s="28" t="n"/>
      <c r="I229" t="n">
        <v>1</v>
      </c>
      <c r="J229" t="n">
        <v>0.045</v>
      </c>
      <c r="K229" s="28" t="n"/>
      <c r="L229" s="91" t="inlineStr">
        <is>
          <t>糖水铺</t>
        </is>
      </c>
      <c r="M229" s="57" t="n"/>
      <c r="N229" s="57" t="n"/>
      <c r="O229" s="39" t="n"/>
      <c r="P229" s="39" t="n"/>
      <c r="Q229" s="39" t="n"/>
      <c r="R229" s="39" t="n"/>
      <c r="S229" s="39" t="n"/>
      <c r="T229" s="39" t="n"/>
      <c r="U229" s="39" t="n"/>
      <c r="V229" s="39" t="n"/>
      <c r="W229" s="39" t="n"/>
      <c r="X229" s="39" t="n"/>
    </row>
    <row r="230" ht="17.6" customHeight="1" s="170">
      <c r="A230" s="91" t="inlineStr">
        <is>
          <t>糖水铺</t>
        </is>
      </c>
      <c r="B230" s="12" t="inlineStr">
        <is>
          <t>蔗糖糖浆</t>
        </is>
      </c>
      <c r="C230" s="12" t="inlineStr">
        <is>
          <t>集采</t>
        </is>
      </c>
      <c r="D230" s="57" t="n"/>
      <c r="E230" s="12" t="inlineStr">
        <is>
          <t>2.5kg/瓶*8 瓶/箱</t>
        </is>
      </c>
      <c r="F230" s="26" t="n">
        <v>2500</v>
      </c>
      <c r="G230" s="57" t="n">
        <v>42</v>
      </c>
      <c r="H230" s="28" t="n"/>
      <c r="I230" t="n">
        <v>1</v>
      </c>
      <c r="J230" t="n">
        <v>0.0168</v>
      </c>
      <c r="K230" s="48" t="n"/>
      <c r="L230" s="91" t="inlineStr">
        <is>
          <t>糖水铺</t>
        </is>
      </c>
      <c r="M230" s="57" t="n"/>
      <c r="N230" s="57" t="n"/>
      <c r="O230" s="39" t="n"/>
      <c r="P230" s="39" t="n"/>
      <c r="Q230" s="39" t="n"/>
      <c r="R230" s="39" t="n"/>
      <c r="S230" s="39" t="n"/>
      <c r="T230" s="39" t="n"/>
      <c r="U230" s="39" t="n"/>
      <c r="V230" s="39" t="n"/>
      <c r="W230" s="39" t="n"/>
      <c r="X230" s="39" t="n"/>
    </row>
    <row r="231" ht="17.6" customHeight="1" s="170">
      <c r="A231" s="91" t="inlineStr">
        <is>
          <t>糖水铺</t>
        </is>
      </c>
      <c r="B231" s="12" t="inlineStr">
        <is>
          <t>牛乳粉</t>
        </is>
      </c>
      <c r="C231" s="12" t="inlineStr">
        <is>
          <t>集采</t>
        </is>
      </c>
      <c r="D231" s="57" t="n"/>
      <c r="E231" s="12" t="inlineStr">
        <is>
          <t>1kg/包/*20包/箱</t>
        </is>
      </c>
      <c r="F231" s="26" t="n">
        <v>1000</v>
      </c>
      <c r="G231" s="57" t="n">
        <v>50</v>
      </c>
      <c r="H231" s="28" t="n"/>
      <c r="I231" t="n">
        <v>1</v>
      </c>
      <c r="J231" t="n">
        <v>0.05</v>
      </c>
      <c r="K231" s="48" t="n"/>
      <c r="L231" s="91" t="inlineStr">
        <is>
          <t>糖水铺</t>
        </is>
      </c>
      <c r="M231" s="57" t="n"/>
      <c r="N231" s="57" t="n"/>
      <c r="O231" s="39" t="n"/>
      <c r="P231" s="39" t="n"/>
      <c r="Q231" s="39" t="n"/>
      <c r="R231" s="39" t="n"/>
      <c r="S231" s="39" t="n"/>
      <c r="T231" s="39" t="n"/>
      <c r="U231" s="39" t="n"/>
      <c r="V231" s="39" t="n"/>
      <c r="W231" s="39" t="n"/>
      <c r="X231" s="39" t="n"/>
    </row>
    <row r="232" ht="17.6" customHeight="1" s="170">
      <c r="A232" s="91" t="inlineStr">
        <is>
          <t>糖水铺</t>
        </is>
      </c>
      <c r="B232" s="12" t="inlineStr">
        <is>
          <t>糯米</t>
        </is>
      </c>
      <c r="C232" s="57" t="n"/>
      <c r="D232" s="57" t="n"/>
      <c r="E232" s="12" t="inlineStr">
        <is>
          <t>称重</t>
        </is>
      </c>
      <c r="F232" s="26" t="n">
        <v>500</v>
      </c>
      <c r="G232" s="57" t="n">
        <v>4</v>
      </c>
      <c r="H232" s="28" t="n"/>
      <c r="I232" t="n">
        <v>1</v>
      </c>
      <c r="J232" t="n">
        <v>0.008</v>
      </c>
      <c r="K232" s="48" t="n"/>
      <c r="L232" s="91" t="inlineStr">
        <is>
          <t>糖水铺</t>
        </is>
      </c>
      <c r="M232" s="57" t="n"/>
      <c r="N232" s="57" t="n"/>
      <c r="O232" s="39" t="n"/>
      <c r="P232" s="39" t="n"/>
      <c r="Q232" s="39" t="n"/>
      <c r="R232" s="39" t="n"/>
      <c r="S232" s="39" t="n"/>
      <c r="T232" s="39" t="n"/>
      <c r="U232" s="39" t="n"/>
      <c r="V232" s="39" t="n"/>
      <c r="W232" s="39" t="n"/>
      <c r="X232" s="39" t="n"/>
    </row>
    <row r="233" ht="17.6" customHeight="1" s="170">
      <c r="A233" s="91" t="inlineStr">
        <is>
          <t>糖水铺</t>
        </is>
      </c>
      <c r="B233" s="12" t="inlineStr">
        <is>
          <t>鲜龙眼</t>
        </is>
      </c>
      <c r="C233" s="57" t="n"/>
      <c r="D233" s="57" t="n"/>
      <c r="E233" s="12" t="inlineStr">
        <is>
          <t>称重</t>
        </is>
      </c>
      <c r="F233" s="26" t="n">
        <v>500</v>
      </c>
      <c r="G233" s="57" t="n">
        <v>15</v>
      </c>
      <c r="H233" s="28" t="n"/>
      <c r="I233" t="n">
        <v>1</v>
      </c>
      <c r="J233" t="n">
        <v>0.03</v>
      </c>
      <c r="K233" s="48" t="n"/>
      <c r="L233" s="91" t="inlineStr">
        <is>
          <t>糖水铺</t>
        </is>
      </c>
      <c r="M233" s="57" t="n"/>
      <c r="N233" s="57" t="n"/>
      <c r="O233" s="39" t="n"/>
      <c r="P233" s="39" t="n"/>
      <c r="Q233" s="39" t="n"/>
      <c r="R233" s="39" t="n"/>
      <c r="S233" s="39" t="n"/>
      <c r="T233" s="39" t="n"/>
      <c r="U233" s="39" t="n"/>
      <c r="V233" s="39" t="n"/>
      <c r="W233" s="39" t="n"/>
      <c r="X233" s="39" t="n"/>
    </row>
    <row r="234" ht="17.6" customHeight="1" s="170">
      <c r="A234" s="91" t="inlineStr">
        <is>
          <t>糖水铺</t>
        </is>
      </c>
      <c r="B234" s="12" t="inlineStr">
        <is>
          <t>雪域藏茶</t>
        </is>
      </c>
      <c r="C234" s="12" t="inlineStr">
        <is>
          <t>集采</t>
        </is>
      </c>
      <c r="D234" s="57" t="n"/>
      <c r="E234" s="12" t="inlineStr">
        <is>
          <t>500g/袋*25 袋/箱</t>
        </is>
      </c>
      <c r="F234" s="26" t="n">
        <v>500</v>
      </c>
      <c r="G234" s="57" t="n">
        <v>80</v>
      </c>
      <c r="H234" s="28" t="n"/>
      <c r="I234" t="n">
        <v>1</v>
      </c>
      <c r="J234" t="n">
        <v>0.16</v>
      </c>
      <c r="K234" s="48" t="n"/>
      <c r="L234" s="91" t="inlineStr">
        <is>
          <t>糖水铺</t>
        </is>
      </c>
      <c r="M234" s="57" t="n"/>
      <c r="N234" s="57" t="n"/>
      <c r="O234" s="39" t="n"/>
      <c r="P234" s="39" t="n"/>
      <c r="Q234" s="39" t="n"/>
      <c r="R234" s="39" t="n"/>
      <c r="S234" s="39" t="n"/>
      <c r="T234" s="39" t="n"/>
      <c r="U234" s="39" t="n"/>
      <c r="V234" s="39" t="n"/>
      <c r="W234" s="39" t="n"/>
      <c r="X234" s="39" t="n"/>
    </row>
    <row r="235" ht="17.6" customHeight="1" s="170">
      <c r="A235" s="91" t="inlineStr">
        <is>
          <t>糖水铺</t>
        </is>
      </c>
      <c r="B235" s="12" t="inlineStr">
        <is>
          <t>雪域藏茶茶汤</t>
        </is>
      </c>
      <c r="C235" s="12" t="inlineStr">
        <is>
          <t>自制</t>
        </is>
      </c>
      <c r="D235" s="57" t="n"/>
      <c r="E235" s="12" t="inlineStr">
        <is>
          <t>称重</t>
        </is>
      </c>
      <c r="F235" s="26" t="n">
        <v>1500</v>
      </c>
      <c r="G235" s="57" t="n">
        <v>8</v>
      </c>
      <c r="H235" s="28" t="n"/>
      <c r="I235" t="n">
        <v>1</v>
      </c>
      <c r="J235" t="n">
        <v>0.005333</v>
      </c>
      <c r="K235" s="48" t="n"/>
      <c r="L235" s="91" t="inlineStr">
        <is>
          <t>糖水铺</t>
        </is>
      </c>
      <c r="M235" s="57" t="n"/>
      <c r="N235" s="57" t="n"/>
      <c r="O235" s="39" t="n"/>
      <c r="P235" s="39" t="n"/>
      <c r="Q235" s="39" t="n"/>
      <c r="R235" s="39" t="n"/>
      <c r="S235" s="39" t="n"/>
      <c r="T235" s="39" t="n"/>
      <c r="U235" s="39" t="n"/>
      <c r="V235" s="39" t="n"/>
      <c r="W235" s="39" t="n"/>
      <c r="X235" s="39" t="n"/>
    </row>
    <row r="236" ht="17.6" customHeight="1" s="170">
      <c r="A236" s="91" t="inlineStr">
        <is>
          <t>糖水铺</t>
        </is>
      </c>
      <c r="B236" s="12" t="inlineStr">
        <is>
          <t>金桔柠檬果蓉</t>
        </is>
      </c>
      <c r="C236" s="12" t="inlineStr">
        <is>
          <t>集采</t>
        </is>
      </c>
      <c r="D236" s="57" t="n"/>
      <c r="E236" s="12" t="inlineStr">
        <is>
          <t>1 .2kg/瓶*12 瓶/箱</t>
        </is>
      </c>
      <c r="F236" s="26" t="n">
        <v>1200</v>
      </c>
      <c r="G236" s="57" t="n">
        <v>48</v>
      </c>
      <c r="H236" s="28" t="n"/>
      <c r="I236" t="n">
        <v>1</v>
      </c>
      <c r="J236" t="n">
        <v>0.04</v>
      </c>
      <c r="K236" s="48" t="n"/>
      <c r="L236" s="91" t="inlineStr">
        <is>
          <t>糖水铺</t>
        </is>
      </c>
      <c r="M236" s="57" t="n"/>
      <c r="N236" s="57" t="n"/>
      <c r="O236" s="39" t="n"/>
      <c r="P236" s="39" t="n"/>
      <c r="Q236" s="39" t="n"/>
      <c r="R236" s="39" t="n"/>
      <c r="S236" s="39" t="n"/>
      <c r="T236" s="39" t="n"/>
      <c r="U236" s="39" t="n"/>
      <c r="V236" s="39" t="n"/>
      <c r="W236" s="39" t="n"/>
      <c r="X236" s="39" t="n"/>
    </row>
    <row r="237" ht="17.6" customHeight="1" s="170">
      <c r="A237" s="91" t="inlineStr">
        <is>
          <t>糖水铺</t>
        </is>
      </c>
      <c r="B237" s="12" t="inlineStr">
        <is>
          <t>冷冻柿子浆</t>
        </is>
      </c>
      <c r="C237" s="12" t="inlineStr">
        <is>
          <t>集采</t>
        </is>
      </c>
      <c r="D237" s="57" t="n"/>
      <c r="E237" s="12" t="inlineStr">
        <is>
          <t>500g/袋*20 袋/箱</t>
        </is>
      </c>
      <c r="F237" s="26" t="n">
        <v>500</v>
      </c>
      <c r="G237" s="57" t="n">
        <v>15</v>
      </c>
      <c r="H237" s="28" t="n"/>
      <c r="I237" t="n">
        <v>1</v>
      </c>
      <c r="J237" t="n">
        <v>0.03</v>
      </c>
      <c r="K237" s="48" t="n"/>
      <c r="L237" s="91" t="inlineStr">
        <is>
          <t>糖水铺</t>
        </is>
      </c>
      <c r="M237" s="57" t="n"/>
      <c r="N237" s="57" t="n"/>
      <c r="O237" s="39" t="n"/>
      <c r="P237" s="39" t="n"/>
      <c r="Q237" s="39" t="n"/>
      <c r="R237" s="39" t="n"/>
      <c r="S237" s="39" t="n"/>
      <c r="T237" s="39" t="n"/>
      <c r="U237" s="39" t="n"/>
      <c r="V237" s="39" t="n"/>
      <c r="W237" s="39" t="n"/>
      <c r="X237" s="39" t="n"/>
    </row>
    <row r="238" ht="17.6" customHeight="1" s="170">
      <c r="A238" s="91" t="inlineStr">
        <is>
          <t>糖水铺</t>
        </is>
      </c>
      <c r="B238" s="12" t="inlineStr">
        <is>
          <t>奶油奶酪</t>
        </is>
      </c>
      <c r="C238" s="12" t="inlineStr">
        <is>
          <t>网采</t>
        </is>
      </c>
      <c r="D238" s="57" t="n"/>
      <c r="E238" s="12" t="inlineStr">
        <is>
          <t>2kg/袋*3袋/箱</t>
        </is>
      </c>
      <c r="F238" s="26" t="n">
        <v>6000</v>
      </c>
      <c r="G238" s="57" t="n">
        <v>276</v>
      </c>
      <c r="H238" s="28" t="n"/>
      <c r="I238" t="n">
        <v>1</v>
      </c>
      <c r="J238" t="n">
        <v>0.045833</v>
      </c>
      <c r="K238" s="48" t="n"/>
      <c r="L238" s="91" t="inlineStr">
        <is>
          <t>糖水铺</t>
        </is>
      </c>
      <c r="M238" s="57" t="n"/>
      <c r="N238" s="57" t="n"/>
      <c r="O238" s="39" t="n"/>
      <c r="P238" s="39" t="n"/>
      <c r="Q238" s="39" t="n"/>
      <c r="R238" s="39" t="n"/>
      <c r="S238" s="39" t="n"/>
      <c r="T238" s="39" t="n"/>
      <c r="U238" s="39" t="n"/>
      <c r="V238" s="39" t="n"/>
      <c r="W238" s="39" t="n"/>
      <c r="X238" s="39" t="n"/>
    </row>
    <row r="239" ht="17.6" customHeight="1" s="170">
      <c r="A239" s="91" t="inlineStr">
        <is>
          <t>糖水铺</t>
        </is>
      </c>
      <c r="B239" s="12" t="inlineStr">
        <is>
          <t>淡奶油</t>
        </is>
      </c>
      <c r="C239" s="12" t="inlineStr">
        <is>
          <t>网采</t>
        </is>
      </c>
      <c r="D239" s="57" t="n"/>
      <c r="E239" s="12" t="inlineStr">
        <is>
          <t>1000g/盒*12盒/箱</t>
        </is>
      </c>
      <c r="F239" s="26" t="n">
        <v>1000</v>
      </c>
      <c r="G239" s="57" t="n">
        <v>22.92</v>
      </c>
      <c r="H239" s="28" t="n"/>
      <c r="I239" t="n">
        <v>1</v>
      </c>
      <c r="J239" t="n">
        <v>0.02292</v>
      </c>
      <c r="K239" s="48" t="n"/>
      <c r="L239" s="91" t="inlineStr">
        <is>
          <t>糖水铺</t>
        </is>
      </c>
      <c r="M239" s="57" t="n"/>
      <c r="N239" s="57" t="n"/>
      <c r="O239" s="39" t="n"/>
      <c r="P239" s="39" t="n"/>
      <c r="Q239" s="39" t="n"/>
      <c r="R239" s="39" t="n"/>
      <c r="S239" s="39" t="n"/>
      <c r="T239" s="39" t="n"/>
      <c r="U239" s="39" t="n"/>
      <c r="V239" s="39" t="n"/>
      <c r="W239" s="39" t="n"/>
      <c r="X239" s="39" t="n"/>
    </row>
    <row r="240" ht="17.6" customHeight="1" s="170">
      <c r="A240" s="91" t="inlineStr">
        <is>
          <t>糖水铺</t>
        </is>
      </c>
      <c r="B240" s="12" t="inlineStr">
        <is>
          <t>全脂牛奶</t>
        </is>
      </c>
      <c r="C240" s="12" t="inlineStr">
        <is>
          <t>网采</t>
        </is>
      </c>
      <c r="D240" s="57" t="n"/>
      <c r="E240" s="12" t="inlineStr">
        <is>
          <t>1000g/盒*12盒/箱</t>
        </is>
      </c>
      <c r="F240" s="26" t="n">
        <v>1000</v>
      </c>
      <c r="G240" s="57" t="n">
        <v>12.08</v>
      </c>
      <c r="H240" s="28" t="n"/>
      <c r="I240" t="n">
        <v>1</v>
      </c>
      <c r="J240" t="n">
        <v>0.01126</v>
      </c>
      <c r="K240" s="48" t="n"/>
      <c r="L240" s="91" t="inlineStr">
        <is>
          <t>糖水铺</t>
        </is>
      </c>
      <c r="M240" s="57" t="n"/>
      <c r="N240" s="57" t="n"/>
      <c r="O240" s="39" t="n"/>
      <c r="P240" s="39" t="n"/>
      <c r="Q240" s="39" t="n"/>
      <c r="R240" s="39" t="n"/>
      <c r="S240" s="39" t="n"/>
      <c r="T240" s="39" t="n"/>
      <c r="U240" s="39" t="n"/>
      <c r="V240" s="39" t="n"/>
      <c r="W240" s="39" t="n"/>
      <c r="X240" s="39" t="n"/>
    </row>
    <row r="241" ht="17.6" customHeight="1" s="170">
      <c r="A241" s="91" t="inlineStr">
        <is>
          <t>糖水铺</t>
        </is>
      </c>
      <c r="B241" s="12" t="inlineStr">
        <is>
          <t>百利凝胶片</t>
        </is>
      </c>
      <c r="C241" s="12" t="inlineStr">
        <is>
          <t>网采</t>
        </is>
      </c>
      <c r="D241" s="57" t="n"/>
      <c r="E241" s="12" t="inlineStr">
        <is>
          <t>1kg/盒</t>
        </is>
      </c>
      <c r="F241" s="26" t="n">
        <v>1000</v>
      </c>
      <c r="G241" s="57" t="n">
        <v>75</v>
      </c>
      <c r="H241" s="28" t="n"/>
      <c r="I241" t="n">
        <v>1</v>
      </c>
      <c r="J241" t="n">
        <v>0.075</v>
      </c>
      <c r="K241" s="48" t="n"/>
      <c r="L241" s="91" t="inlineStr">
        <is>
          <t>糖水铺</t>
        </is>
      </c>
      <c r="M241" s="57" t="n"/>
      <c r="N241" s="57" t="n"/>
      <c r="O241" s="39" t="n"/>
      <c r="P241" s="39" t="n"/>
      <c r="Q241" s="39" t="n"/>
      <c r="R241" s="39" t="n"/>
      <c r="S241" s="39" t="n"/>
      <c r="T241" s="39" t="n"/>
      <c r="U241" s="39" t="n"/>
      <c r="V241" s="39" t="n"/>
      <c r="W241" s="39" t="n"/>
      <c r="X241" s="39" t="n"/>
    </row>
    <row r="242" ht="17.6" customHeight="1" s="170">
      <c r="A242" s="91" t="inlineStr">
        <is>
          <t>干杂</t>
        </is>
      </c>
      <c r="B242" s="12" t="inlineStr">
        <is>
          <t>定西土豆粉</t>
        </is>
      </c>
      <c r="C242" s="12" t="inlineStr">
        <is>
          <t>网采</t>
        </is>
      </c>
      <c r="D242" s="57" t="n"/>
      <c r="E242" s="12" t="inlineStr">
        <is>
          <t>称重</t>
        </is>
      </c>
      <c r="F242" s="26" t="n">
        <v>500</v>
      </c>
      <c r="G242" s="57" t="n">
        <v>6.6</v>
      </c>
      <c r="H242" s="28" t="n"/>
      <c r="I242" t="n">
        <v>2.9</v>
      </c>
      <c r="J242" t="n">
        <v>0.0132</v>
      </c>
      <c r="K242" s="48" t="n"/>
      <c r="L242" s="91" t="inlineStr">
        <is>
          <t>干杂</t>
        </is>
      </c>
      <c r="M242" s="57" t="n"/>
      <c r="N242" s="57" t="n"/>
      <c r="O242" s="39" t="n"/>
      <c r="P242" s="39" t="n"/>
      <c r="Q242" s="39" t="n"/>
      <c r="R242" s="39" t="n"/>
      <c r="S242" s="39" t="n"/>
      <c r="T242" s="39" t="n"/>
      <c r="U242" s="39" t="n"/>
      <c r="V242" s="39" t="n"/>
      <c r="W242" s="39" t="n"/>
      <c r="X242" s="39" t="n"/>
    </row>
    <row r="243" ht="17.6" customHeight="1" s="170">
      <c r="A243" s="48" t="n"/>
      <c r="B243" s="93" t="n"/>
      <c r="C243" s="93" t="n"/>
      <c r="D243" s="93" t="n"/>
      <c r="E243" s="93" t="n"/>
      <c r="F243" s="69" t="n"/>
      <c r="G243" s="93" t="n"/>
      <c r="H243" s="48" t="n"/>
      <c r="I243" t="n">
        <v>1</v>
      </c>
      <c r="K243" s="48" t="n"/>
      <c r="L243" s="48" t="n"/>
      <c r="M243" s="48" t="n"/>
      <c r="N243" s="93" t="n"/>
      <c r="O243" s="39" t="n"/>
      <c r="P243" s="39" t="n"/>
      <c r="Q243" s="39" t="n"/>
      <c r="R243" s="39" t="n"/>
      <c r="S243" s="39" t="n"/>
      <c r="T243" s="39" t="n"/>
      <c r="U243" s="39" t="n"/>
      <c r="V243" s="39" t="n"/>
      <c r="W243" s="39" t="n"/>
      <c r="X243" s="39" t="n"/>
    </row>
    <row r="244" ht="17.6" customHeight="1" s="170">
      <c r="A244" s="39" t="n"/>
      <c r="B244" s="72" t="n"/>
      <c r="C244" s="74" t="n"/>
      <c r="D244" s="72" t="n"/>
      <c r="E244" s="72" t="n"/>
      <c r="F244" s="71" t="n"/>
      <c r="G244" s="72" t="n"/>
      <c r="H244" s="39" t="n"/>
      <c r="I244" t="n">
        <v>1</v>
      </c>
      <c r="K244" s="39" t="n"/>
      <c r="L244" s="39" t="n"/>
      <c r="M244" s="39" t="n"/>
      <c r="N244" s="74" t="n"/>
      <c r="O244" s="39" t="n"/>
      <c r="P244" s="39" t="n"/>
      <c r="Q244" s="39" t="n"/>
      <c r="R244" s="39" t="n"/>
      <c r="S244" s="39" t="n"/>
      <c r="T244" s="39" t="n"/>
      <c r="U244" s="39" t="n"/>
      <c r="V244" s="39" t="n"/>
      <c r="W244" s="39" t="n"/>
      <c r="X244" s="39" t="n"/>
    </row>
    <row r="245" ht="17.6" customHeight="1" s="170">
      <c r="A245" s="39" t="n"/>
      <c r="B245" s="72" t="n"/>
      <c r="C245" s="74" t="n"/>
      <c r="D245" s="72" t="n"/>
      <c r="E245" s="72" t="n"/>
      <c r="F245" s="71" t="n"/>
      <c r="G245" s="72" t="n"/>
      <c r="H245" s="39" t="n"/>
      <c r="I245" t="n">
        <v>1</v>
      </c>
      <c r="K245" s="39" t="n"/>
      <c r="L245" s="39" t="n"/>
      <c r="M245" s="39" t="n"/>
      <c r="N245" s="74" t="n"/>
      <c r="O245" s="39" t="n"/>
      <c r="P245" s="39" t="n"/>
      <c r="Q245" s="39" t="n"/>
      <c r="R245" s="39" t="n"/>
      <c r="S245" s="39" t="n"/>
      <c r="T245" s="39" t="n"/>
      <c r="U245" s="39" t="n"/>
      <c r="V245" s="39" t="n"/>
      <c r="W245" s="39" t="n"/>
      <c r="X245" s="39" t="n"/>
    </row>
    <row r="246" ht="17.6" customHeight="1" s="170">
      <c r="A246" s="39" t="n"/>
      <c r="B246" s="72" t="n"/>
      <c r="C246" s="74" t="n"/>
      <c r="D246" s="72" t="n"/>
      <c r="E246" s="72" t="n"/>
      <c r="F246" s="71" t="n"/>
      <c r="G246" s="72" t="n"/>
      <c r="H246" s="39" t="n"/>
      <c r="I246" t="n">
        <v>1</v>
      </c>
      <c r="K246" s="39" t="n"/>
      <c r="L246" s="39" t="n"/>
      <c r="M246" s="39" t="n"/>
      <c r="N246" s="74" t="n"/>
      <c r="O246" s="39" t="n"/>
      <c r="P246" s="39" t="n"/>
      <c r="Q246" s="39" t="n"/>
      <c r="R246" s="39" t="n"/>
      <c r="S246" s="39" t="n"/>
      <c r="T246" s="39" t="n"/>
      <c r="U246" s="39" t="n"/>
      <c r="V246" s="39" t="n"/>
      <c r="W246" s="39" t="n"/>
      <c r="X246" s="39" t="n"/>
    </row>
    <row r="247" ht="17.6" customHeight="1" s="170">
      <c r="A247" s="39" t="n"/>
      <c r="B247" s="72" t="n"/>
      <c r="C247" s="74" t="n"/>
      <c r="D247" s="72" t="n"/>
      <c r="E247" s="72" t="n"/>
      <c r="F247" s="71" t="n"/>
      <c r="G247" s="72" t="n"/>
      <c r="H247" s="39" t="n"/>
      <c r="I247" t="n">
        <v>1</v>
      </c>
      <c r="K247" s="39" t="n"/>
      <c r="L247" s="39" t="n"/>
      <c r="M247" s="39" t="n"/>
      <c r="N247" s="74" t="n"/>
      <c r="O247" s="39" t="n"/>
      <c r="P247" s="39" t="n"/>
      <c r="Q247" s="39" t="n"/>
      <c r="R247" s="39" t="n"/>
      <c r="S247" s="39" t="n"/>
      <c r="T247" s="39" t="n"/>
      <c r="U247" s="39" t="n"/>
      <c r="V247" s="39" t="n"/>
      <c r="W247" s="39" t="n"/>
      <c r="X247" s="39" t="n"/>
    </row>
    <row r="248" ht="17.6" customHeight="1" s="170">
      <c r="A248" s="39" t="n"/>
      <c r="B248" s="72" t="n"/>
      <c r="C248" s="74" t="n"/>
      <c r="D248" s="74" t="n"/>
      <c r="E248" s="74" t="n"/>
      <c r="F248" s="73" t="n"/>
      <c r="G248" s="74" t="n"/>
      <c r="H248" s="67" t="n"/>
      <c r="I248" t="n">
        <v>1</v>
      </c>
      <c r="K248" s="74" t="n"/>
      <c r="L248" s="39" t="n"/>
      <c r="M248" s="72" t="n"/>
      <c r="N248" s="74" t="n"/>
      <c r="O248" s="74" t="n"/>
      <c r="P248" s="76" t="n"/>
      <c r="Q248" s="39" t="n"/>
      <c r="R248" s="39" t="n"/>
      <c r="S248" s="39" t="n"/>
      <c r="T248" s="39" t="n"/>
      <c r="U248" s="39" t="n"/>
      <c r="V248" s="39" t="n"/>
      <c r="W248" s="39" t="n"/>
      <c r="X248" s="39" t="n"/>
    </row>
    <row r="249" ht="17.6" customHeight="1" s="170">
      <c r="A249" s="39" t="n"/>
      <c r="B249" s="72" t="n"/>
      <c r="C249" s="74" t="n"/>
      <c r="D249" s="74" t="n"/>
      <c r="E249" s="74" t="n"/>
      <c r="F249" s="73" t="n"/>
      <c r="G249" s="74" t="n"/>
      <c r="H249" s="67" t="n"/>
      <c r="I249" t="n">
        <v>1</v>
      </c>
      <c r="K249" s="74" t="n"/>
      <c r="L249" s="39" t="n"/>
      <c r="N249" s="74" t="n"/>
      <c r="O249" s="74" t="n"/>
      <c r="P249" s="76" t="n"/>
      <c r="Q249" s="39" t="n"/>
      <c r="R249" s="39" t="n"/>
      <c r="S249" s="39" t="n"/>
      <c r="T249" s="39" t="n"/>
      <c r="U249" s="39" t="n"/>
      <c r="V249" s="39" t="n"/>
      <c r="W249" s="39" t="n"/>
      <c r="X249" s="39" t="n"/>
    </row>
    <row r="250" ht="17.6" customHeight="1" s="170">
      <c r="A250" s="39" t="n"/>
      <c r="B250" s="72" t="n"/>
      <c r="C250" s="67" t="n"/>
      <c r="D250" s="74" t="n"/>
      <c r="E250" s="74" t="n"/>
      <c r="F250" s="73" t="n"/>
      <c r="G250" s="74" t="n"/>
      <c r="H250" s="67" t="n"/>
      <c r="I250" t="n">
        <v>1</v>
      </c>
      <c r="K250" s="74" t="n"/>
      <c r="L250" s="39" t="n"/>
      <c r="N250" s="67" t="n"/>
      <c r="O250" s="74" t="n"/>
      <c r="P250" s="76" t="n"/>
      <c r="Q250" s="39" t="n"/>
      <c r="R250" s="39" t="n"/>
      <c r="S250" s="39" t="n"/>
      <c r="T250" s="39" t="n"/>
      <c r="U250" s="39" t="n"/>
      <c r="V250" s="39" t="n"/>
      <c r="W250" s="39" t="n"/>
      <c r="X250" s="39" t="n"/>
    </row>
    <row r="251" ht="17.6" customHeight="1" s="170">
      <c r="A251" s="39" t="n"/>
      <c r="B251" s="72" t="n"/>
      <c r="C251" s="68" t="n"/>
      <c r="D251" s="68" t="n"/>
      <c r="E251" s="68" t="n"/>
      <c r="F251" s="75" t="n"/>
      <c r="G251" s="72" t="n"/>
      <c r="H251" s="67" t="n"/>
      <c r="I251" t="n">
        <v>1</v>
      </c>
      <c r="K251" s="68" t="n"/>
      <c r="L251" s="39" t="n"/>
      <c r="N251" s="68" t="n"/>
      <c r="O251" s="68" t="n"/>
      <c r="P251" s="74" t="n"/>
      <c r="Q251" s="39" t="n"/>
      <c r="R251" s="39" t="n"/>
      <c r="S251" s="39" t="n"/>
      <c r="T251" s="39" t="n"/>
      <c r="U251" s="39" t="n"/>
      <c r="V251" s="39" t="n"/>
      <c r="W251" s="39" t="n"/>
      <c r="X251" s="39" t="n"/>
    </row>
    <row r="252" ht="17.6" customHeight="1" s="170">
      <c r="A252" s="39" t="n"/>
      <c r="B252" s="72" t="n"/>
      <c r="C252" s="72" t="n"/>
      <c r="D252" s="72" t="n"/>
      <c r="E252" s="72" t="n"/>
      <c r="F252" s="71" t="n"/>
      <c r="G252" s="72" t="n"/>
      <c r="H252" s="39" t="n"/>
      <c r="I252" t="n">
        <v>1</v>
      </c>
      <c r="K252" s="39" t="n"/>
      <c r="L252" s="39" t="n"/>
      <c r="M252" s="39" t="n"/>
      <c r="N252" s="72" t="n"/>
      <c r="O252" s="39" t="n"/>
      <c r="P252" s="39" t="n"/>
      <c r="Q252" s="39" t="n"/>
      <c r="R252" s="39" t="n"/>
      <c r="S252" s="39" t="n"/>
      <c r="T252" s="39" t="n"/>
      <c r="U252" s="39" t="n"/>
      <c r="V252" s="39" t="n"/>
      <c r="W252" s="39" t="n"/>
      <c r="X252" s="39" t="n"/>
    </row>
    <row r="253" ht="17.6" customHeight="1" s="170">
      <c r="A253" s="39" t="n"/>
      <c r="B253" s="72" t="n"/>
      <c r="C253" s="72" t="n"/>
      <c r="D253" s="72" t="n"/>
      <c r="E253" s="72" t="n"/>
      <c r="F253" s="71" t="n"/>
      <c r="G253" s="72" t="n"/>
      <c r="H253" s="39" t="n"/>
      <c r="I253" t="n">
        <v>1</v>
      </c>
      <c r="K253" s="39" t="n"/>
      <c r="L253" s="39" t="n"/>
      <c r="M253" s="39" t="n"/>
      <c r="N253" s="72" t="n"/>
      <c r="O253" s="39" t="n"/>
      <c r="P253" s="39" t="n"/>
      <c r="Q253" s="39" t="n"/>
      <c r="R253" s="39" t="n"/>
      <c r="S253" s="39" t="n"/>
      <c r="T253" s="39" t="n"/>
      <c r="U253" s="39" t="n"/>
      <c r="V253" s="39" t="n"/>
      <c r="W253" s="39" t="n"/>
      <c r="X253" s="39" t="n"/>
    </row>
    <row r="254" ht="17.6" customHeight="1" s="170">
      <c r="A254" s="39" t="n"/>
      <c r="B254" s="72" t="n"/>
      <c r="C254" s="72" t="n"/>
      <c r="D254" s="72" t="n"/>
      <c r="E254" s="72" t="n"/>
      <c r="F254" s="71" t="n"/>
      <c r="G254" s="72" t="n"/>
      <c r="H254" s="39" t="n"/>
      <c r="I254" t="n">
        <v>1</v>
      </c>
      <c r="K254" s="39" t="n"/>
      <c r="L254" s="39" t="n"/>
      <c r="M254" s="39" t="n"/>
      <c r="N254" s="72" t="n"/>
      <c r="O254" s="39" t="n"/>
      <c r="P254" s="39" t="n"/>
      <c r="Q254" s="39" t="n"/>
      <c r="R254" s="39" t="n"/>
      <c r="S254" s="39" t="n"/>
      <c r="T254" s="39" t="n"/>
      <c r="U254" s="39" t="n"/>
      <c r="V254" s="39" t="n"/>
      <c r="W254" s="39" t="n"/>
      <c r="X254" s="39" t="n"/>
    </row>
    <row r="255" ht="17.6" customHeight="1" s="170">
      <c r="A255" s="39" t="n"/>
      <c r="B255" s="72" t="n"/>
      <c r="C255" s="72" t="n"/>
      <c r="D255" s="72" t="n"/>
      <c r="E255" s="72" t="n"/>
      <c r="F255" s="71" t="n"/>
      <c r="G255" s="72" t="n"/>
      <c r="H255" s="39" t="n"/>
      <c r="I255" t="n">
        <v>1</v>
      </c>
      <c r="K255" s="39" t="n"/>
      <c r="L255" s="39" t="n"/>
      <c r="M255" s="39" t="n"/>
      <c r="N255" s="72" t="n"/>
      <c r="O255" s="39" t="n"/>
      <c r="P255" s="39" t="n"/>
      <c r="Q255" s="39" t="n"/>
      <c r="R255" s="39" t="n"/>
      <c r="S255" s="39" t="n"/>
      <c r="T255" s="39" t="n"/>
      <c r="U255" s="39" t="n"/>
      <c r="V255" s="39" t="n"/>
      <c r="W255" s="39" t="n"/>
      <c r="X255" s="39" t="n"/>
    </row>
    <row r="256" ht="17.6" customHeight="1" s="170">
      <c r="A256" s="39" t="n"/>
      <c r="B256" s="72" t="n"/>
      <c r="C256" s="72" t="n"/>
      <c r="D256" s="72" t="n"/>
      <c r="E256" s="72" t="n"/>
      <c r="F256" s="71" t="n"/>
      <c r="G256" s="72" t="n"/>
      <c r="H256" s="39" t="n"/>
      <c r="I256" t="n">
        <v>1</v>
      </c>
      <c r="K256" s="39" t="n"/>
      <c r="L256" s="39" t="n"/>
      <c r="M256" s="39" t="n"/>
      <c r="N256" s="72" t="n"/>
      <c r="O256" s="39" t="n"/>
      <c r="P256" s="39" t="n"/>
      <c r="Q256" s="39" t="n"/>
      <c r="R256" s="39" t="n"/>
      <c r="S256" s="39" t="n"/>
      <c r="T256" s="39" t="n"/>
      <c r="U256" s="39" t="n"/>
      <c r="V256" s="39" t="n"/>
      <c r="W256" s="39" t="n"/>
      <c r="X256" s="39" t="n"/>
    </row>
    <row r="257" ht="17.6" customHeight="1" s="170">
      <c r="A257" s="39" t="n"/>
      <c r="B257" s="72" t="n"/>
      <c r="C257" s="72" t="n"/>
      <c r="D257" s="72" t="n"/>
      <c r="E257" s="72" t="n"/>
      <c r="F257" s="71" t="n"/>
      <c r="G257" s="72" t="n"/>
      <c r="H257" s="39" t="n"/>
      <c r="I257" t="n">
        <v>1</v>
      </c>
      <c r="K257" s="39" t="n"/>
      <c r="L257" s="39" t="n"/>
      <c r="M257" s="39" t="n"/>
      <c r="N257" s="72" t="n"/>
      <c r="O257" s="39" t="n"/>
      <c r="P257" s="39" t="n"/>
      <c r="Q257" s="39" t="n"/>
      <c r="R257" s="39" t="n"/>
      <c r="S257" s="39" t="n"/>
      <c r="T257" s="39" t="n"/>
      <c r="U257" s="39" t="n"/>
      <c r="V257" s="39" t="n"/>
      <c r="W257" s="39" t="n"/>
      <c r="X257" s="39" t="n"/>
    </row>
    <row r="258" ht="17.6" customHeight="1" s="170">
      <c r="A258" s="39" t="n"/>
      <c r="B258" s="72" t="n"/>
      <c r="C258" s="72" t="n"/>
      <c r="D258" s="72" t="n"/>
      <c r="E258" s="72" t="n"/>
      <c r="F258" s="71" t="n"/>
      <c r="G258" s="72" t="n"/>
      <c r="H258" s="39" t="n"/>
      <c r="I258" t="n">
        <v>1</v>
      </c>
      <c r="K258" s="39" t="n"/>
      <c r="L258" s="39" t="n"/>
      <c r="M258" s="39" t="n"/>
      <c r="N258" s="72" t="n"/>
      <c r="O258" s="39" t="n"/>
      <c r="P258" s="39" t="n"/>
      <c r="Q258" s="39" t="n"/>
      <c r="R258" s="39" t="n"/>
      <c r="S258" s="39" t="n"/>
      <c r="T258" s="39" t="n"/>
      <c r="U258" s="39" t="n"/>
      <c r="V258" s="39" t="n"/>
      <c r="W258" s="39" t="n"/>
      <c r="X258" s="39" t="n"/>
    </row>
    <row r="259" ht="17.6" customHeight="1" s="170">
      <c r="A259" s="39" t="n"/>
      <c r="B259" s="72" t="n"/>
      <c r="C259" s="72" t="n"/>
      <c r="D259" s="72" t="n"/>
      <c r="E259" s="72" t="n"/>
      <c r="F259" s="71" t="n"/>
      <c r="G259" s="72" t="n"/>
      <c r="H259" s="39" t="n"/>
      <c r="I259" t="n">
        <v>1</v>
      </c>
      <c r="K259" s="39" t="n"/>
      <c r="L259" s="39" t="n"/>
      <c r="M259" s="39" t="n"/>
      <c r="N259" s="72" t="n"/>
      <c r="O259" s="39" t="n"/>
      <c r="P259" s="39" t="n"/>
      <c r="Q259" s="39" t="n"/>
      <c r="R259" s="39" t="n"/>
      <c r="S259" s="39" t="n"/>
      <c r="T259" s="39" t="n"/>
      <c r="U259" s="39" t="n"/>
      <c r="V259" s="39" t="n"/>
      <c r="W259" s="39" t="n"/>
      <c r="X259" s="39" t="n"/>
    </row>
    <row r="260" ht="17.6" customHeight="1" s="170">
      <c r="A260" s="39" t="n"/>
      <c r="B260" s="72" t="n"/>
      <c r="C260" s="72" t="n"/>
      <c r="D260" s="72" t="n"/>
      <c r="E260" s="72" t="n"/>
      <c r="F260" s="71" t="n"/>
      <c r="G260" s="72" t="n"/>
      <c r="H260" s="39" t="n"/>
      <c r="I260" t="n">
        <v>1</v>
      </c>
      <c r="K260" s="39" t="n"/>
      <c r="L260" s="39" t="n"/>
      <c r="M260" s="39" t="n"/>
      <c r="N260" s="72" t="n"/>
      <c r="O260" s="39" t="n"/>
      <c r="P260" s="39" t="n"/>
      <c r="Q260" s="39" t="n"/>
      <c r="R260" s="39" t="n"/>
      <c r="S260" s="39" t="n"/>
      <c r="T260" s="39" t="n"/>
      <c r="U260" s="39" t="n"/>
      <c r="V260" s="39" t="n"/>
      <c r="W260" s="39" t="n"/>
      <c r="X260" s="39" t="n"/>
    </row>
    <row r="261" ht="17.6" customHeight="1" s="170">
      <c r="A261" s="39" t="n"/>
      <c r="B261" s="72" t="n"/>
      <c r="C261" s="72" t="n"/>
      <c r="D261" s="72" t="n"/>
      <c r="E261" s="72" t="n"/>
      <c r="F261" s="71" t="n"/>
      <c r="G261" s="72" t="n"/>
      <c r="H261" s="39" t="n"/>
      <c r="I261" t="n">
        <v>1</v>
      </c>
      <c r="K261" s="39" t="n"/>
      <c r="L261" s="39" t="n"/>
      <c r="M261" s="39" t="n"/>
      <c r="N261" s="72" t="n"/>
      <c r="O261" s="39" t="n"/>
      <c r="P261" s="39" t="n"/>
      <c r="Q261" s="39" t="n"/>
      <c r="R261" s="39" t="n"/>
      <c r="S261" s="39" t="n"/>
      <c r="T261" s="39" t="n"/>
      <c r="U261" s="39" t="n"/>
      <c r="V261" s="39" t="n"/>
      <c r="W261" s="39" t="n"/>
      <c r="X261" s="39" t="n"/>
    </row>
    <row r="262" ht="17.6" customHeight="1" s="170">
      <c r="A262" s="39" t="n"/>
      <c r="B262" s="72" t="n"/>
      <c r="C262" s="72" t="n"/>
      <c r="D262" s="72" t="n"/>
      <c r="E262" s="72" t="n"/>
      <c r="F262" s="71" t="n"/>
      <c r="G262" s="72" t="n"/>
      <c r="H262" s="39" t="n"/>
      <c r="I262" t="n">
        <v>1</v>
      </c>
      <c r="K262" s="39" t="n"/>
      <c r="L262" s="39" t="n"/>
      <c r="M262" s="39" t="n"/>
      <c r="N262" s="72" t="n"/>
      <c r="O262" s="39" t="n"/>
      <c r="P262" s="39" t="n"/>
      <c r="Q262" s="39" t="n"/>
      <c r="R262" s="39" t="n"/>
      <c r="S262" s="39" t="n"/>
      <c r="T262" s="39" t="n"/>
      <c r="U262" s="39" t="n"/>
      <c r="V262" s="39" t="n"/>
      <c r="W262" s="39" t="n"/>
      <c r="X262" s="39" t="n"/>
    </row>
    <row r="263" ht="17.6" customHeight="1" s="170">
      <c r="A263" s="39" t="n"/>
      <c r="B263" s="72" t="n"/>
      <c r="C263" s="72" t="n"/>
      <c r="D263" s="72" t="n"/>
      <c r="E263" s="72" t="n"/>
      <c r="F263" s="71" t="n"/>
      <c r="G263" s="72" t="n"/>
      <c r="H263" s="39" t="n"/>
      <c r="I263" t="n">
        <v>1</v>
      </c>
      <c r="K263" s="39" t="n"/>
      <c r="L263" s="39" t="n"/>
      <c r="M263" s="39" t="n"/>
      <c r="N263" s="72" t="n"/>
      <c r="O263" s="39" t="n"/>
      <c r="P263" s="39" t="n"/>
      <c r="Q263" s="39" t="n"/>
      <c r="R263" s="39" t="n"/>
      <c r="S263" s="39" t="n"/>
      <c r="T263" s="39" t="n"/>
      <c r="U263" s="39" t="n"/>
      <c r="V263" s="39" t="n"/>
      <c r="W263" s="39" t="n"/>
      <c r="X263" s="39" t="n"/>
    </row>
  </sheetData>
  <autoFilter ref="A1:L242">
    <sortState ref="A1:L242">
      <sortCondition descending="1" ref="C1"/>
    </sortState>
  </autoFilter>
  <mergeCells count="1">
    <mergeCell ref="K248:K2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2025-06-18T08:02:00Z</dcterms:created>
  <dcterms:modified xsi:type="dcterms:W3CDTF">2025-11-21T23:08:32Z</dcterms:modified>
  <cp:lastModifiedBy>外卖小哥彭于晏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3368BDFCE915454FB892FBF776E901D5_13</vt:lpwstr>
  </property>
  <property name="KSOProductBuildVer" fmtid="{D5CDD505-2E9C-101B-9397-08002B2CF9AE}" pid="3">
    <vt:lpwstr>2052-7.2.2.8955</vt:lpwstr>
  </property>
  <property name="CalculationRule" fmtid="{D5CDD505-2E9C-101B-9397-08002B2CF9AE}" pid="4">
    <vt:i4>0</vt:i4>
  </property>
</Properties>
</file>